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tinky2026/Documents/code/RaisingTSA/"/>
    </mc:Choice>
  </mc:AlternateContent>
  <xr:revisionPtr revIDLastSave="0" documentId="13_ncr:1_{89F16595-87DA-7A41-A031-CA1208D84035}" xr6:coauthVersionLast="47" xr6:coauthVersionMax="47" xr10:uidLastSave="{00000000-0000-0000-0000-000000000000}"/>
  <bookViews>
    <workbookView xWindow="0" yWindow="660" windowWidth="29400" windowHeight="16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1" l="1"/>
  <c r="M35" i="1"/>
  <c r="M33" i="1"/>
  <c r="M31" i="1"/>
  <c r="M29" i="1"/>
  <c r="M27" i="1"/>
  <c r="M25" i="1"/>
  <c r="L37" i="1"/>
  <c r="L38" i="1" s="1"/>
  <c r="L35" i="1"/>
  <c r="L33" i="1"/>
  <c r="L31" i="1"/>
  <c r="L29" i="1"/>
  <c r="L27" i="1"/>
  <c r="L25" i="1"/>
  <c r="I21" i="1"/>
  <c r="I17" i="1"/>
  <c r="I13" i="1"/>
  <c r="I9" i="1"/>
  <c r="I5" i="1"/>
  <c r="M38" i="1" l="1"/>
</calcChain>
</file>

<file path=xl/sharedStrings.xml><?xml version="1.0" encoding="utf-8"?>
<sst xmlns="http://schemas.openxmlformats.org/spreadsheetml/2006/main" count="462" uniqueCount="201">
  <si>
    <t>metric</t>
    <phoneticPr fontId="1" type="noConversion"/>
  </si>
  <si>
    <t>Data</t>
    <phoneticPr fontId="1" type="noConversion"/>
  </si>
  <si>
    <t>AUC</t>
    <phoneticPr fontId="1" type="noConversion"/>
  </si>
  <si>
    <t>LSTM-TAtt</t>
    <phoneticPr fontId="1" type="noConversion"/>
  </si>
  <si>
    <t>LSTM</t>
    <phoneticPr fontId="1" type="noConversion"/>
  </si>
  <si>
    <t>GRU</t>
    <phoneticPr fontId="1" type="noConversion"/>
  </si>
  <si>
    <t>(0.008)</t>
  </si>
  <si>
    <t>Transformer</t>
    <phoneticPr fontId="1" type="noConversion"/>
  </si>
  <si>
    <t>TCI (LSTM-HA)</t>
    <phoneticPr fontId="1" type="noConversion"/>
  </si>
  <si>
    <t>TCI (LSTM)</t>
    <phoneticPr fontId="1" type="noConversion"/>
  </si>
  <si>
    <t>TCI (GRU)</t>
    <phoneticPr fontId="1" type="noConversion"/>
  </si>
  <si>
    <t>TCI (Transformer)</t>
    <phoneticPr fontId="1" type="noConversion"/>
  </si>
  <si>
    <t>TCI (LSTM-Tatt)</t>
    <phoneticPr fontId="1" type="noConversion"/>
  </si>
  <si>
    <t>LSTM-HA</t>
    <phoneticPr fontId="1" type="noConversion"/>
  </si>
  <si>
    <t>FS</t>
    <phoneticPr fontId="1" type="noConversion"/>
  </si>
  <si>
    <t>lamb0.01, ns=3</t>
    <phoneticPr fontId="1" type="noConversion"/>
  </si>
  <si>
    <t>NC</t>
    <phoneticPr fontId="1" type="noConversion"/>
  </si>
  <si>
    <t>(0.015)</t>
  </si>
  <si>
    <t>(0.036)</t>
  </si>
  <si>
    <t>(0.037)</t>
  </si>
  <si>
    <t>(0.023)</t>
  </si>
  <si>
    <t>(0.028)</t>
  </si>
  <si>
    <t>model selection: 50% recall</t>
    <phoneticPr fontId="1" type="noConversion"/>
  </si>
  <si>
    <t>(0.029)</t>
  </si>
  <si>
    <t>(0.018)</t>
  </si>
  <si>
    <t>(0.013)</t>
  </si>
  <si>
    <t>(0.021)</t>
  </si>
  <si>
    <t>(0.026)</t>
  </si>
  <si>
    <t>(0.031)</t>
  </si>
  <si>
    <t>(0.039)</t>
  </si>
  <si>
    <t>(0.045)</t>
  </si>
  <si>
    <t>(0.046)</t>
  </si>
  <si>
    <t>(0.049)</t>
  </si>
  <si>
    <t>(0.034)</t>
  </si>
  <si>
    <t>Rec15%</t>
    <phoneticPr fontId="1" type="noConversion"/>
  </si>
  <si>
    <t>Rec30%</t>
    <phoneticPr fontId="1" type="noConversion"/>
  </si>
  <si>
    <t>Rec50%</t>
    <phoneticPr fontId="1" type="noConversion"/>
  </si>
  <si>
    <t>Ndcg15%</t>
    <phoneticPr fontId="1" type="noConversion"/>
  </si>
  <si>
    <t>Ndcg30%</t>
    <phoneticPr fontId="1" type="noConversion"/>
  </si>
  <si>
    <t>Ndcg50%</t>
    <phoneticPr fontId="1" type="noConversion"/>
  </si>
  <si>
    <t>(0.019)</t>
  </si>
  <si>
    <t>(0.006)</t>
  </si>
  <si>
    <t>(0.030)</t>
  </si>
  <si>
    <t>(0.027)</t>
  </si>
  <si>
    <t>(0.032)</t>
  </si>
  <si>
    <t>(0.033)</t>
  </si>
  <si>
    <t>(0.052)</t>
  </si>
  <si>
    <t>(0.053)</t>
  </si>
  <si>
    <t>default</t>
    <phoneticPr fontId="1" type="noConversion"/>
  </si>
  <si>
    <t>ns=3, rho=0.99, 'partial', tai=0.1</t>
    <phoneticPr fontId="1" type="noConversion"/>
  </si>
  <si>
    <t>h_dim=64</t>
    <phoneticPr fontId="1" type="noConversion"/>
  </si>
  <si>
    <t>lamb=0.01, regInv=0.1</t>
    <phoneticPr fontId="1" type="noConversion"/>
  </si>
  <si>
    <t>bs=8192, max_epoch=100</t>
    <phoneticPr fontId="1" type="noConversion"/>
  </si>
  <si>
    <t>lr=0.01</t>
    <phoneticPr fontId="1" type="noConversion"/>
  </si>
  <si>
    <t>(0.048)</t>
  </si>
  <si>
    <t>(0.041)</t>
  </si>
  <si>
    <t>(0.076)</t>
  </si>
  <si>
    <t>(0.050)</t>
  </si>
  <si>
    <t>(0.035)</t>
  </si>
  <si>
    <t>(0.056)</t>
  </si>
  <si>
    <t>(0.042)</t>
  </si>
  <si>
    <t>(0.044)</t>
  </si>
  <si>
    <t>(0.077)</t>
  </si>
  <si>
    <t>(0.064)</t>
  </si>
  <si>
    <t>(0.071)</t>
  </si>
  <si>
    <t>(0.038)</t>
  </si>
  <si>
    <t>(0.051)</t>
  </si>
  <si>
    <t>(0.062)</t>
  </si>
  <si>
    <t>(0.088)</t>
  </si>
  <si>
    <t>(0.040)</t>
  </si>
  <si>
    <t>lr=0.001</t>
    <phoneticPr fontId="1" type="noConversion"/>
  </si>
  <si>
    <t>(0.099)</t>
  </si>
  <si>
    <t>(0.063)</t>
  </si>
  <si>
    <t>raisp</t>
    <phoneticPr fontId="1" type="noConversion"/>
  </si>
  <si>
    <t>(0.020)</t>
    <phoneticPr fontId="1" type="noConversion"/>
  </si>
  <si>
    <t>(0.040)</t>
    <phoneticPr fontId="1" type="noConversion"/>
  </si>
  <si>
    <t>(0.109)</t>
  </si>
  <si>
    <t>(0.068)</t>
  </si>
  <si>
    <t>Ali</t>
    <phoneticPr fontId="1" type="noConversion"/>
  </si>
  <si>
    <t>(0.005)</t>
  </si>
  <si>
    <t>(0.010)</t>
  </si>
  <si>
    <t>(0.007)</t>
  </si>
  <si>
    <t>(0.045)</t>
    <phoneticPr fontId="1" type="noConversion"/>
  </si>
  <si>
    <t>(0.017)</t>
  </si>
  <si>
    <t>(0.017)</t>
    <phoneticPr fontId="1" type="noConversion"/>
  </si>
  <si>
    <t>(0.015)</t>
    <phoneticPr fontId="1" type="noConversion"/>
  </si>
  <si>
    <t>(0.014)</t>
  </si>
  <si>
    <t>(0.004)</t>
  </si>
  <si>
    <t>(0.009)</t>
  </si>
  <si>
    <t>(0.016)</t>
  </si>
  <si>
    <t>(0.021)</t>
    <phoneticPr fontId="1" type="noConversion"/>
  </si>
  <si>
    <t>(0.016)</t>
    <phoneticPr fontId="1" type="noConversion"/>
  </si>
  <si>
    <t>(0.012)</t>
  </si>
  <si>
    <t>(0.003)</t>
  </si>
  <si>
    <t>(0.011)</t>
  </si>
  <si>
    <t>(0.020)</t>
  </si>
  <si>
    <t>(0.022)</t>
  </si>
  <si>
    <t>(0.013)</t>
    <phoneticPr fontId="1" type="noConversion"/>
  </si>
  <si>
    <t>lamb=1</t>
    <phoneticPr fontId="1" type="noConversion"/>
  </si>
  <si>
    <t>(0.011)</t>
    <phoneticPr fontId="1" type="noConversion"/>
  </si>
  <si>
    <t>(0.006)</t>
    <phoneticPr fontId="1" type="noConversion"/>
  </si>
  <si>
    <t>train: 240301-240509</t>
    <phoneticPr fontId="1" type="noConversion"/>
  </si>
  <si>
    <t>val: 240510-240512</t>
    <phoneticPr fontId="1" type="noConversion"/>
  </si>
  <si>
    <t>test: 240513-240515</t>
    <phoneticPr fontId="1" type="noConversion"/>
  </si>
  <si>
    <t>LSTM-Tatt</t>
    <phoneticPr fontId="1" type="noConversion"/>
  </si>
  <si>
    <t>lamb=0.1</t>
    <phoneticPr fontId="1" type="noConversion"/>
  </si>
  <si>
    <t>(0.023)</t>
    <phoneticPr fontId="1" type="noConversion"/>
  </si>
  <si>
    <t>(0.019)</t>
    <phoneticPr fontId="1" type="noConversion"/>
  </si>
  <si>
    <t>(0.022)</t>
    <phoneticPr fontId="1" type="noConversion"/>
  </si>
  <si>
    <t>(0.025)</t>
    <phoneticPr fontId="1" type="noConversion"/>
  </si>
  <si>
    <t>(0.029)</t>
    <phoneticPr fontId="1" type="noConversion"/>
  </si>
  <si>
    <t>(0.026)</t>
    <phoneticPr fontId="1" type="noConversion"/>
  </si>
  <si>
    <r>
      <t>horizon</t>
    </r>
    <r>
      <rPr>
        <sz val="12"/>
        <color theme="1"/>
        <rFont val="SimSun"/>
        <family val="1"/>
        <charset val="134"/>
      </rPr>
      <t>太久，风格可能也会变化</t>
    </r>
    <phoneticPr fontId="1" type="noConversion"/>
  </si>
  <si>
    <t>TCI (LSTM-Tatt) nc=2</t>
    <phoneticPr fontId="1" type="noConversion"/>
  </si>
  <si>
    <t>TCI (LSTM-Tatt) nc=3</t>
    <phoneticPr fontId="1" type="noConversion"/>
  </si>
  <si>
    <t>TCI (LSTM-Tatt) nc=5</t>
    <phoneticPr fontId="1" type="noConversion"/>
  </si>
  <si>
    <t>TCI (LSTM-Tatt) nc=7</t>
    <phoneticPr fontId="1" type="noConversion"/>
  </si>
  <si>
    <t>TCI (LSTM-Tatt) nc=10</t>
    <phoneticPr fontId="1" type="noConversion"/>
  </si>
  <si>
    <t>TCI (LSTM-Tatt) d=64</t>
    <phoneticPr fontId="1" type="noConversion"/>
  </si>
  <si>
    <t>TCI (LSTM-Tatt) d=32</t>
    <phoneticPr fontId="1" type="noConversion"/>
  </si>
  <si>
    <t>TCI (LSTM-Tatt) d=128</t>
    <phoneticPr fontId="1" type="noConversion"/>
  </si>
  <si>
    <t>TCI (LSTM-Tatt) d=256</t>
    <phoneticPr fontId="1" type="noConversion"/>
  </si>
  <si>
    <t>lamb=0.01</t>
    <phoneticPr fontId="1" type="noConversion"/>
  </si>
  <si>
    <t>TCI (LSTM-Tatt) tai=0.1</t>
    <phoneticPr fontId="1" type="noConversion"/>
  </si>
  <si>
    <t>TCI (LSTM-Tatt) tai=1</t>
    <phoneticPr fontId="1" type="noConversion"/>
  </si>
  <si>
    <r>
      <rPr>
        <sz val="12"/>
        <color theme="1"/>
        <rFont val="SimSun"/>
        <family val="1"/>
        <charset val="134"/>
      </rPr>
      <t>几乎是硬约束（完全</t>
    </r>
    <r>
      <rPr>
        <sz val="12"/>
        <color theme="1"/>
        <rFont val="Times New Roman"/>
        <family val="1"/>
      </rPr>
      <t>OT</t>
    </r>
    <r>
      <rPr>
        <sz val="12"/>
        <color theme="1"/>
        <rFont val="SimSun"/>
        <family val="1"/>
        <charset val="134"/>
      </rPr>
      <t>）</t>
    </r>
    <phoneticPr fontId="1" type="noConversion"/>
  </si>
  <si>
    <t>TCI (LSTM-Tatt) tai=0.05</t>
    <phoneticPr fontId="1" type="noConversion"/>
  </si>
  <si>
    <t>TCI (LSTM-Tatt) tai=0.01</t>
    <phoneticPr fontId="1" type="noConversion"/>
  </si>
  <si>
    <t>TCI (LSTM-Tatt) tai=0.5</t>
    <phoneticPr fontId="1" type="noConversion"/>
  </si>
  <si>
    <t>TCI (LSTM-Tatt) tai=0.2</t>
    <phoneticPr fontId="1" type="noConversion"/>
  </si>
  <si>
    <t>TCI (LSTM-Tatt) rho=0.99</t>
    <phoneticPr fontId="1" type="noConversion"/>
  </si>
  <si>
    <t>Ablation</t>
    <phoneticPr fontId="1" type="noConversion"/>
  </si>
  <si>
    <t>(0.027)</t>
    <phoneticPr fontId="1" type="noConversion"/>
  </si>
  <si>
    <t>(0.033)</t>
    <phoneticPr fontId="1" type="noConversion"/>
  </si>
  <si>
    <t>(0.041)</t>
    <phoneticPr fontId="1" type="noConversion"/>
  </si>
  <si>
    <t>(0.030)</t>
    <phoneticPr fontId="1" type="noConversion"/>
  </si>
  <si>
    <t>(0.028)</t>
    <phoneticPr fontId="1" type="noConversion"/>
  </si>
  <si>
    <r>
      <rPr>
        <sz val="12"/>
        <color theme="1"/>
        <rFont val="SimSun"/>
        <family val="1"/>
        <charset val="134"/>
      </rPr>
      <t>这里就是</t>
    </r>
    <r>
      <rPr>
        <sz val="12"/>
        <color theme="1"/>
        <rFont val="Times New Roman"/>
        <family val="1"/>
      </rPr>
      <t>slightly</t>
    </r>
    <r>
      <rPr>
        <sz val="12"/>
        <color theme="1"/>
        <rFont val="SimSun"/>
        <family val="1"/>
        <charset val="134"/>
      </rPr>
      <t>降低效果</t>
    </r>
    <phoneticPr fontId="1" type="noConversion"/>
  </si>
  <si>
    <t>(0.031)</t>
    <phoneticPr fontId="1" type="noConversion"/>
  </si>
  <si>
    <t>Benchmark</t>
    <phoneticPr fontId="1" type="noConversion"/>
  </si>
  <si>
    <t>MOE</t>
    <phoneticPr fontId="1" type="noConversion"/>
  </si>
  <si>
    <t>(0.024)</t>
    <phoneticPr fontId="1" type="noConversion"/>
  </si>
  <si>
    <t>MLOE</t>
    <phoneticPr fontId="1" type="noConversion"/>
  </si>
  <si>
    <t>0.5725</t>
  </si>
  <si>
    <t>0.2035</t>
    <phoneticPr fontId="1" type="noConversion"/>
  </si>
  <si>
    <t>0.3971</t>
    <phoneticPr fontId="1" type="noConversion"/>
  </si>
  <si>
    <t>0.6261</t>
    <phoneticPr fontId="1" type="noConversion"/>
  </si>
  <si>
    <t>(0.014)</t>
    <phoneticPr fontId="1" type="noConversion"/>
  </si>
  <si>
    <t>DCdetector</t>
    <phoneticPr fontId="1" type="noConversion"/>
  </si>
  <si>
    <t>CARLA</t>
    <phoneticPr fontId="1" type="noConversion"/>
  </si>
  <si>
    <t>0.5623</t>
    <phoneticPr fontId="1" type="noConversion"/>
  </si>
  <si>
    <t>0.2313</t>
    <phoneticPr fontId="1" type="noConversion"/>
  </si>
  <si>
    <t>0.3986</t>
    <phoneticPr fontId="1" type="noConversion"/>
  </si>
  <si>
    <t>0.5568</t>
    <phoneticPr fontId="1" type="noConversion"/>
  </si>
  <si>
    <t>0.6018</t>
    <phoneticPr fontId="1" type="noConversion"/>
  </si>
  <si>
    <t>0.6035</t>
    <phoneticPr fontId="1" type="noConversion"/>
  </si>
  <si>
    <t>0.6083</t>
    <phoneticPr fontId="1" type="noConversion"/>
  </si>
  <si>
    <t>(0.032)</t>
    <phoneticPr fontId="1" type="noConversion"/>
  </si>
  <si>
    <t>DeepAR</t>
    <phoneticPr fontId="1" type="noConversion"/>
  </si>
  <si>
    <t>0.6067</t>
    <phoneticPr fontId="1" type="noConversion"/>
  </si>
  <si>
    <t>0.6170</t>
    <phoneticPr fontId="1" type="noConversion"/>
  </si>
  <si>
    <t>0.6233</t>
    <phoneticPr fontId="1" type="noConversion"/>
  </si>
  <si>
    <t>AMOE</t>
    <phoneticPr fontId="1" type="noConversion"/>
  </si>
  <si>
    <t>(0.034)</t>
    <phoneticPr fontId="1" type="noConversion"/>
  </si>
  <si>
    <t>(0.010)</t>
    <phoneticPr fontId="1" type="noConversion"/>
  </si>
  <si>
    <t>AdaGrowth</t>
    <phoneticPr fontId="1" type="noConversion"/>
  </si>
  <si>
    <t>LSTM-tatt</t>
    <phoneticPr fontId="1" type="noConversion"/>
  </si>
  <si>
    <t>w/r WeightProb in Eval</t>
    <phoneticPr fontId="1" type="noConversion"/>
  </si>
  <si>
    <t>w/o-DvLoss</t>
    <phoneticPr fontId="1" type="noConversion"/>
  </si>
  <si>
    <t>w/o-TrLoss</t>
    <phoneticPr fontId="1" type="noConversion"/>
  </si>
  <si>
    <t>w/o-WProb</t>
    <phoneticPr fontId="1" type="noConversion"/>
  </si>
  <si>
    <t>w/o-LDecay</t>
    <phoneticPr fontId="1" type="noConversion"/>
  </si>
  <si>
    <t>(0.012)</t>
    <phoneticPr fontId="1" type="noConversion"/>
  </si>
  <si>
    <t>成本</t>
    <phoneticPr fontId="1" type="noConversion"/>
  </si>
  <si>
    <t>R15%</t>
    <phoneticPr fontId="1" type="noConversion"/>
  </si>
  <si>
    <t>R30%</t>
    <phoneticPr fontId="1" type="noConversion"/>
  </si>
  <si>
    <t>320</t>
    <phoneticPr fontId="1" type="noConversion"/>
  </si>
  <si>
    <t>160</t>
    <phoneticPr fontId="1" type="noConversion"/>
  </si>
  <si>
    <t>收益</t>
    <phoneticPr fontId="1" type="noConversion"/>
  </si>
  <si>
    <t>成本1$</t>
    <phoneticPr fontId="1" type="noConversion"/>
  </si>
  <si>
    <r>
      <rPr>
        <sz val="12"/>
        <color theme="1"/>
        <rFont val="SimSun"/>
        <family val="1"/>
        <charset val="134"/>
      </rPr>
      <t>收益</t>
    </r>
    <r>
      <rPr>
        <sz val="12"/>
        <color theme="1"/>
        <rFont val="Times New Roman"/>
        <family val="1"/>
      </rPr>
      <t>2$</t>
    </r>
    <phoneticPr fontId="1" type="noConversion"/>
  </si>
  <si>
    <t>Target 15%</t>
    <phoneticPr fontId="1" type="noConversion"/>
  </si>
  <si>
    <t>Target 30%</t>
    <phoneticPr fontId="1" type="noConversion"/>
  </si>
  <si>
    <t>Day74</t>
    <phoneticPr fontId="1" type="noConversion"/>
  </si>
  <si>
    <t>Day75</t>
    <phoneticPr fontId="1" type="noConversion"/>
  </si>
  <si>
    <t>Day 76</t>
    <phoneticPr fontId="1" type="noConversion"/>
  </si>
  <si>
    <t>Day 78</t>
    <phoneticPr fontId="1" type="noConversion"/>
  </si>
  <si>
    <t>Day 80</t>
    <phoneticPr fontId="1" type="noConversion"/>
  </si>
  <si>
    <t>Day 83</t>
    <phoneticPr fontId="1" type="noConversion"/>
  </si>
  <si>
    <t>Day 88</t>
    <phoneticPr fontId="1" type="noConversion"/>
  </si>
  <si>
    <t>TCI (LSTM-Tatt) rho=0.999</t>
    <phoneticPr fontId="1" type="noConversion"/>
  </si>
  <si>
    <t>TCI (LSTM-Tatt) rho=0.95</t>
    <phoneticPr fontId="1" type="noConversion"/>
  </si>
  <si>
    <t>TCI (LSTM-Tatt) rho=0.9</t>
    <phoneticPr fontId="1" type="noConversion"/>
  </si>
  <si>
    <t>TCI (LSTM-Tatt) rho=0.8</t>
    <phoneticPr fontId="1" type="noConversion"/>
  </si>
  <si>
    <t>Rolling</t>
    <phoneticPr fontId="1" type="noConversion"/>
  </si>
  <si>
    <t>0.2361</t>
    <phoneticPr fontId="1" type="noConversion"/>
  </si>
  <si>
    <t>0.4029</t>
    <phoneticPr fontId="1" type="noConversion"/>
  </si>
  <si>
    <t>0.6085</t>
    <phoneticPr fontId="1" type="noConversion"/>
  </si>
  <si>
    <t>0.6092</t>
    <phoneticPr fontId="1" type="noConversion"/>
  </si>
  <si>
    <t>0.6130</t>
    <phoneticPr fontId="1" type="noConversion"/>
  </si>
  <si>
    <t>0.5829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</si>
</sst>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SimSun"/>
      <family val="1"/>
      <charset val="134"/>
    </font>
    <font>
      <sz val="12"/>
      <color theme="1"/>
      <name val="Times New Roman"/>
      <family val="1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76" fontId="2" fillId="0" borderId="1" xfId="0" applyNumberFormat="1" applyFont="1" applyBorder="1"/>
    <xf numFmtId="176" fontId="2" fillId="0" borderId="0" xfId="0" applyNumberFormat="1" applyFont="1"/>
    <xf numFmtId="176" fontId="2" fillId="2" borderId="0" xfId="0" applyNumberFormat="1" applyFont="1" applyFill="1"/>
    <xf numFmtId="176" fontId="2" fillId="2" borderId="1" xfId="0" applyNumberFormat="1" applyFont="1" applyFill="1" applyBorder="1"/>
    <xf numFmtId="176" fontId="2" fillId="0" borderId="1" xfId="0" applyNumberFormat="1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6" fontId="3" fillId="0" borderId="5" xfId="0" applyNumberFormat="1" applyFont="1" applyBorder="1"/>
    <xf numFmtId="176" fontId="2" fillId="0" borderId="5" xfId="0" applyNumberFormat="1" applyFont="1" applyBorder="1"/>
    <xf numFmtId="176" fontId="2" fillId="3" borderId="1" xfId="0" applyNumberFormat="1" applyFont="1" applyFill="1" applyBorder="1"/>
    <xf numFmtId="176" fontId="3" fillId="3" borderId="1" xfId="0" applyNumberFormat="1" applyFont="1" applyFill="1" applyBorder="1" applyAlignment="1">
      <alignment horizontal="center"/>
    </xf>
    <xf numFmtId="176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3" borderId="4" xfId="0" applyNumberFormat="1" applyFont="1" applyFill="1" applyBorder="1" applyAlignment="1">
      <alignment horizontal="center"/>
    </xf>
    <xf numFmtId="176" fontId="3" fillId="0" borderId="0" xfId="0" applyNumberFormat="1" applyFont="1"/>
    <xf numFmtId="176" fontId="2" fillId="7" borderId="1" xfId="0" applyNumberFormat="1" applyFont="1" applyFill="1" applyBorder="1"/>
    <xf numFmtId="176" fontId="2" fillId="7" borderId="1" xfId="0" applyNumberFormat="1" applyFont="1" applyFill="1" applyBorder="1" applyAlignment="1">
      <alignment horizontal="center"/>
    </xf>
    <xf numFmtId="49" fontId="2" fillId="7" borderId="1" xfId="0" applyNumberFormat="1" applyFont="1" applyFill="1" applyBorder="1" applyAlignment="1">
      <alignment horizontal="center"/>
    </xf>
    <xf numFmtId="176" fontId="3" fillId="7" borderId="1" xfId="0" applyNumberFormat="1" applyFont="1" applyFill="1" applyBorder="1" applyAlignment="1">
      <alignment horizontal="center"/>
    </xf>
    <xf numFmtId="176" fontId="2" fillId="7" borderId="4" xfId="0" applyNumberFormat="1" applyFont="1" applyFill="1" applyBorder="1"/>
    <xf numFmtId="49" fontId="2" fillId="7" borderId="4" xfId="0" applyNumberFormat="1" applyFont="1" applyFill="1" applyBorder="1" applyAlignment="1">
      <alignment horizontal="center"/>
    </xf>
    <xf numFmtId="176" fontId="5" fillId="0" borderId="1" xfId="0" applyNumberFormat="1" applyFont="1" applyBorder="1"/>
    <xf numFmtId="176" fontId="4" fillId="0" borderId="1" xfId="0" applyNumberFormat="1" applyFont="1" applyBorder="1"/>
    <xf numFmtId="176" fontId="2" fillId="4" borderId="6" xfId="0" applyNumberFormat="1" applyFont="1" applyFill="1" applyBorder="1" applyAlignment="1">
      <alignment horizontal="center"/>
    </xf>
    <xf numFmtId="176" fontId="4" fillId="2" borderId="1" xfId="0" applyNumberFormat="1" applyFont="1" applyFill="1" applyBorder="1"/>
    <xf numFmtId="176" fontId="4" fillId="0" borderId="1" xfId="0" quotePrefix="1" applyNumberFormat="1" applyFont="1" applyBorder="1"/>
    <xf numFmtId="176" fontId="5" fillId="0" borderId="1" xfId="0" quotePrefix="1" applyNumberFormat="1" applyFont="1" applyBorder="1"/>
    <xf numFmtId="176" fontId="2" fillId="4" borderId="2" xfId="0" applyNumberFormat="1" applyFont="1" applyFill="1" applyBorder="1" applyAlignment="1">
      <alignment horizontal="center"/>
    </xf>
    <xf numFmtId="176" fontId="2" fillId="4" borderId="3" xfId="0" applyNumberFormat="1" applyFont="1" applyFill="1" applyBorder="1" applyAlignment="1">
      <alignment horizontal="center"/>
    </xf>
    <xf numFmtId="176" fontId="2" fillId="4" borderId="6" xfId="0" applyNumberFormat="1" applyFont="1" applyFill="1" applyBorder="1" applyAlignment="1">
      <alignment horizontal="center"/>
    </xf>
    <xf numFmtId="176" fontId="2" fillId="5" borderId="2" xfId="0" applyNumberFormat="1" applyFont="1" applyFill="1" applyBorder="1" applyAlignment="1">
      <alignment horizontal="center"/>
    </xf>
    <xf numFmtId="176" fontId="2" fillId="5" borderId="3" xfId="0" applyNumberFormat="1" applyFont="1" applyFill="1" applyBorder="1" applyAlignment="1">
      <alignment horizontal="center"/>
    </xf>
    <xf numFmtId="176" fontId="2" fillId="5" borderId="6" xfId="0" applyNumberFormat="1" applyFont="1" applyFill="1" applyBorder="1" applyAlignment="1">
      <alignment horizontal="center"/>
    </xf>
    <xf numFmtId="176" fontId="2" fillId="6" borderId="2" xfId="0" applyNumberFormat="1" applyFont="1" applyFill="1" applyBorder="1" applyAlignment="1">
      <alignment horizontal="center"/>
    </xf>
    <xf numFmtId="176" fontId="2" fillId="6" borderId="3" xfId="0" applyNumberFormat="1" applyFont="1" applyFill="1" applyBorder="1" applyAlignment="1">
      <alignment horizontal="center"/>
    </xf>
    <xf numFmtId="176" fontId="2" fillId="6" borderId="6" xfId="0" applyNumberFormat="1" applyFont="1" applyFill="1" applyBorder="1" applyAlignment="1">
      <alignment horizontal="center"/>
    </xf>
    <xf numFmtId="176" fontId="2" fillId="0" borderId="1" xfId="0" applyNumberFormat="1" applyFont="1" applyFill="1" applyBorder="1"/>
    <xf numFmtId="176" fontId="2" fillId="0" borderId="1" xfId="0" applyNumberFormat="1" applyFont="1" applyFill="1" applyBorder="1" applyAlignment="1">
      <alignment horizontal="center"/>
    </xf>
    <xf numFmtId="49" fontId="2" fillId="0" borderId="4" xfId="0" applyNumberFormat="1" applyFont="1" applyFill="1" applyBorder="1" applyAlignment="1">
      <alignment horizontal="center"/>
    </xf>
    <xf numFmtId="176" fontId="3" fillId="0" borderId="1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"/>
  <sheetViews>
    <sheetView tabSelected="1" topLeftCell="A83" zoomScale="116" workbookViewId="0">
      <selection activeCell="K94" sqref="K94"/>
    </sheetView>
  </sheetViews>
  <sheetFormatPr baseColWidth="10" defaultColWidth="9" defaultRowHeight="16"/>
  <cols>
    <col min="1" max="1" width="26.83203125" style="1" customWidth="1"/>
    <col min="2" max="11" width="9" style="1"/>
    <col min="12" max="12" width="11" style="1" bestFit="1" customWidth="1"/>
    <col min="13" max="13" width="10" style="1" bestFit="1" customWidth="1"/>
    <col min="14" max="17" width="9" style="1"/>
    <col min="18" max="18" width="9" style="2"/>
    <col min="19" max="25" width="9" style="1"/>
    <col min="26" max="16384" width="9" style="2"/>
  </cols>
  <sheetData>
    <row r="1" spans="1:27">
      <c r="A1" s="1" t="s">
        <v>1</v>
      </c>
      <c r="B1" s="29" t="s">
        <v>14</v>
      </c>
      <c r="C1" s="30"/>
      <c r="D1" s="30"/>
      <c r="E1" s="30"/>
      <c r="F1" s="30"/>
      <c r="G1" s="30"/>
      <c r="H1" s="31"/>
      <c r="I1" s="25"/>
      <c r="K1" s="32" t="s">
        <v>16</v>
      </c>
      <c r="L1" s="33"/>
      <c r="M1" s="33"/>
      <c r="N1" s="33"/>
      <c r="O1" s="33"/>
      <c r="P1" s="33"/>
      <c r="Q1" s="34"/>
      <c r="S1" s="35" t="s">
        <v>78</v>
      </c>
      <c r="T1" s="36"/>
      <c r="U1" s="36"/>
      <c r="V1" s="36"/>
      <c r="W1" s="36"/>
      <c r="X1" s="36"/>
      <c r="Y1" s="37"/>
      <c r="AA1" s="16" t="s">
        <v>48</v>
      </c>
    </row>
    <row r="2" spans="1:27">
      <c r="A2" s="1" t="s">
        <v>0</v>
      </c>
      <c r="B2" s="1" t="s">
        <v>2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K2" s="1" t="s">
        <v>2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S2" s="1" t="s">
        <v>2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AA2" s="2" t="s">
        <v>22</v>
      </c>
    </row>
    <row r="3" spans="1:27">
      <c r="A3" s="9" t="s">
        <v>4</v>
      </c>
      <c r="B3" s="11">
        <v>0.56040000000000001</v>
      </c>
      <c r="C3" s="11">
        <v>0.23549999999999999</v>
      </c>
      <c r="D3" s="11">
        <v>0.39889999999999998</v>
      </c>
      <c r="E3" s="11">
        <v>0.56769999999999998</v>
      </c>
      <c r="F3" s="11">
        <v>0.61129999999999995</v>
      </c>
      <c r="G3" s="11">
        <v>0.61719999999999997</v>
      </c>
      <c r="H3" s="11">
        <v>0.62470000000000003</v>
      </c>
      <c r="I3" s="11"/>
      <c r="K3" s="11">
        <v>0.51439999999999997</v>
      </c>
      <c r="L3" s="11">
        <v>0.16520000000000001</v>
      </c>
      <c r="M3" s="11">
        <v>0.32700000000000001</v>
      </c>
      <c r="N3" s="11">
        <v>0.52700000000000002</v>
      </c>
      <c r="O3" s="11">
        <v>0.54249999999999998</v>
      </c>
      <c r="P3" s="11">
        <v>0.55579999999999996</v>
      </c>
      <c r="Q3" s="11">
        <v>0.57179999999999997</v>
      </c>
      <c r="R3" s="2" t="s">
        <v>70</v>
      </c>
      <c r="S3" s="11">
        <v>0.50580000000000003</v>
      </c>
      <c r="T3" s="11">
        <v>0.19220000000000001</v>
      </c>
      <c r="U3" s="11">
        <v>0.36020000000000002</v>
      </c>
      <c r="V3" s="11">
        <v>0.57509999999999994</v>
      </c>
      <c r="W3" s="11">
        <v>0.73980000000000001</v>
      </c>
      <c r="X3" s="11">
        <v>0.75119999999999998</v>
      </c>
      <c r="Y3" s="11">
        <v>0.75780000000000003</v>
      </c>
      <c r="AA3" s="2" t="s">
        <v>49</v>
      </c>
    </row>
    <row r="4" spans="1:27">
      <c r="A4" s="9"/>
      <c r="B4" s="12" t="s">
        <v>41</v>
      </c>
      <c r="C4" s="12" t="s">
        <v>43</v>
      </c>
      <c r="D4" s="12" t="s">
        <v>21</v>
      </c>
      <c r="E4" s="12" t="s">
        <v>24</v>
      </c>
      <c r="F4" s="12" t="s">
        <v>141</v>
      </c>
      <c r="G4" s="12" t="s">
        <v>147</v>
      </c>
      <c r="H4" s="12" t="s">
        <v>97</v>
      </c>
      <c r="I4" s="12"/>
      <c r="K4" s="12" t="s">
        <v>29</v>
      </c>
      <c r="L4" s="12" t="s">
        <v>69</v>
      </c>
      <c r="M4" s="12" t="s">
        <v>32</v>
      </c>
      <c r="N4" s="12" t="s">
        <v>59</v>
      </c>
      <c r="O4" s="12" t="s">
        <v>71</v>
      </c>
      <c r="P4" s="12" t="s">
        <v>72</v>
      </c>
      <c r="Q4" s="12" t="s">
        <v>30</v>
      </c>
      <c r="S4" s="12" t="s">
        <v>86</v>
      </c>
      <c r="T4" s="12" t="s">
        <v>90</v>
      </c>
      <c r="U4" s="12" t="s">
        <v>74</v>
      </c>
      <c r="V4" s="12" t="s">
        <v>91</v>
      </c>
      <c r="W4" s="12" t="s">
        <v>86</v>
      </c>
      <c r="X4" s="12" t="s">
        <v>80</v>
      </c>
      <c r="Y4" s="12" t="s">
        <v>87</v>
      </c>
      <c r="AA4" s="2" t="s">
        <v>50</v>
      </c>
    </row>
    <row r="5" spans="1:27">
      <c r="A5" s="9" t="s">
        <v>9</v>
      </c>
      <c r="B5" s="10">
        <v>0.59360000000000002</v>
      </c>
      <c r="C5" s="10">
        <v>0.24410000000000001</v>
      </c>
      <c r="D5" s="10">
        <v>0.40649999999999997</v>
      </c>
      <c r="E5" s="10">
        <v>0.63119999999999998</v>
      </c>
      <c r="F5" s="10">
        <v>0.63549999999999995</v>
      </c>
      <c r="G5" s="10">
        <v>0.62980000000000003</v>
      </c>
      <c r="H5" s="10">
        <v>0.63160000000000005</v>
      </c>
      <c r="I5" s="10">
        <f>AVERAGE(B5:H5)/AVERAGE(B3:H3)</f>
        <v>1.0433111154133363</v>
      </c>
      <c r="K5" s="10">
        <v>0.56710000000000005</v>
      </c>
      <c r="L5" s="10">
        <v>0.218</v>
      </c>
      <c r="M5" s="10">
        <v>0.4</v>
      </c>
      <c r="N5" s="10">
        <v>0.58199999999999996</v>
      </c>
      <c r="O5" s="10">
        <v>0.67769999999999997</v>
      </c>
      <c r="P5" s="10">
        <v>0.65869999999999995</v>
      </c>
      <c r="Q5" s="10">
        <v>0.65449999999999997</v>
      </c>
      <c r="S5" s="10">
        <v>0.59740000000000004</v>
      </c>
      <c r="T5" s="10">
        <v>0.2394</v>
      </c>
      <c r="U5" s="10">
        <v>0.42920000000000003</v>
      </c>
      <c r="V5" s="10">
        <v>0.64639999999999997</v>
      </c>
      <c r="W5" s="10">
        <v>0.75509999999999999</v>
      </c>
      <c r="X5" s="10">
        <v>0.76939999999999997</v>
      </c>
      <c r="Y5" s="10">
        <v>0.77639999999999998</v>
      </c>
      <c r="AA5" s="2" t="s">
        <v>51</v>
      </c>
    </row>
    <row r="6" spans="1:27">
      <c r="A6" s="9"/>
      <c r="B6" s="12" t="s">
        <v>21</v>
      </c>
      <c r="C6" s="12" t="s">
        <v>30</v>
      </c>
      <c r="D6" s="12" t="s">
        <v>69</v>
      </c>
      <c r="E6" s="12" t="s">
        <v>33</v>
      </c>
      <c r="F6" s="12" t="s">
        <v>136</v>
      </c>
      <c r="G6" s="12" t="s">
        <v>84</v>
      </c>
      <c r="H6" s="12" t="s">
        <v>164</v>
      </c>
      <c r="I6" s="12"/>
      <c r="K6" s="12" t="s">
        <v>74</v>
      </c>
      <c r="L6" s="12" t="s">
        <v>75</v>
      </c>
      <c r="M6" s="12" t="s">
        <v>60</v>
      </c>
      <c r="N6" s="12" t="s">
        <v>44</v>
      </c>
      <c r="O6" s="12" t="s">
        <v>56</v>
      </c>
      <c r="P6" s="12" t="s">
        <v>46</v>
      </c>
      <c r="Q6" s="12" t="s">
        <v>60</v>
      </c>
      <c r="S6" s="12" t="s">
        <v>88</v>
      </c>
      <c r="T6" s="12" t="s">
        <v>89</v>
      </c>
      <c r="U6" s="12" t="s">
        <v>17</v>
      </c>
      <c r="V6" s="12" t="s">
        <v>83</v>
      </c>
      <c r="W6" s="12" t="s">
        <v>89</v>
      </c>
      <c r="X6" s="12" t="s">
        <v>80</v>
      </c>
      <c r="Y6" s="12" t="s">
        <v>81</v>
      </c>
      <c r="AA6" s="2" t="s">
        <v>52</v>
      </c>
    </row>
    <row r="7" spans="1:27">
      <c r="A7" s="1" t="s">
        <v>5</v>
      </c>
      <c r="B7" s="5">
        <v>0.57930000000000004</v>
      </c>
      <c r="C7" s="6">
        <v>0.27200000000000002</v>
      </c>
      <c r="D7" s="5">
        <v>0.4022</v>
      </c>
      <c r="E7" s="5">
        <v>0.58279999999999998</v>
      </c>
      <c r="F7" s="5">
        <v>0.66810000000000003</v>
      </c>
      <c r="G7" s="5">
        <v>0.66300000000000003</v>
      </c>
      <c r="H7" s="5">
        <v>0.65810000000000002</v>
      </c>
      <c r="I7" s="5"/>
      <c r="J7" s="1" t="s">
        <v>70</v>
      </c>
      <c r="K7" s="5">
        <v>0.47439999999999999</v>
      </c>
      <c r="L7" s="5">
        <v>0.13150000000000001</v>
      </c>
      <c r="M7" s="5">
        <v>0.2888</v>
      </c>
      <c r="N7" s="5">
        <v>0.48309999999999997</v>
      </c>
      <c r="O7" s="5">
        <v>0.4506</v>
      </c>
      <c r="P7" s="5">
        <v>0.48709999999999998</v>
      </c>
      <c r="Q7" s="5">
        <v>0.52059999999999995</v>
      </c>
      <c r="S7" s="5">
        <v>0.53490000000000004</v>
      </c>
      <c r="T7" s="5">
        <v>0.2122</v>
      </c>
      <c r="U7" s="5">
        <v>0.40450000000000003</v>
      </c>
      <c r="V7" s="5">
        <v>0.61450000000000005</v>
      </c>
      <c r="W7" s="5">
        <v>0.72270000000000001</v>
      </c>
      <c r="X7" s="5">
        <v>0.74039999999999995</v>
      </c>
      <c r="Y7" s="5">
        <v>0.75390000000000001</v>
      </c>
      <c r="AA7" s="2" t="s">
        <v>53</v>
      </c>
    </row>
    <row r="8" spans="1:27">
      <c r="B8" s="13" t="s">
        <v>6</v>
      </c>
      <c r="C8" s="13" t="s">
        <v>18</v>
      </c>
      <c r="D8" s="13" t="s">
        <v>17</v>
      </c>
      <c r="E8" s="13" t="s">
        <v>25</v>
      </c>
      <c r="F8" s="13" t="s">
        <v>91</v>
      </c>
      <c r="G8" s="13" t="s">
        <v>84</v>
      </c>
      <c r="H8" s="13" t="s">
        <v>107</v>
      </c>
      <c r="I8" s="13"/>
      <c r="K8" s="13" t="s">
        <v>47</v>
      </c>
      <c r="L8" s="13" t="s">
        <v>29</v>
      </c>
      <c r="M8" s="13" t="s">
        <v>62</v>
      </c>
      <c r="N8" s="13" t="s">
        <v>63</v>
      </c>
      <c r="O8" s="13" t="s">
        <v>64</v>
      </c>
      <c r="P8" s="13" t="s">
        <v>47</v>
      </c>
      <c r="Q8" s="13" t="s">
        <v>18</v>
      </c>
      <c r="S8" s="13" t="s">
        <v>33</v>
      </c>
      <c r="T8" s="13" t="s">
        <v>82</v>
      </c>
      <c r="U8" s="13" t="s">
        <v>84</v>
      </c>
      <c r="V8" s="13" t="s">
        <v>85</v>
      </c>
      <c r="W8" s="13" t="s">
        <v>17</v>
      </c>
      <c r="X8" s="13" t="s">
        <v>6</v>
      </c>
      <c r="Y8" s="13" t="s">
        <v>79</v>
      </c>
    </row>
    <row r="9" spans="1:27">
      <c r="A9" s="4" t="s">
        <v>10</v>
      </c>
      <c r="B9" s="6">
        <v>0.60089999999999999</v>
      </c>
      <c r="C9" s="5">
        <v>0.2591</v>
      </c>
      <c r="D9" s="6">
        <v>0.42580000000000001</v>
      </c>
      <c r="E9" s="6">
        <v>0.62150000000000005</v>
      </c>
      <c r="F9" s="6">
        <v>0.67569999999999997</v>
      </c>
      <c r="G9" s="6">
        <v>0.66769999999999996</v>
      </c>
      <c r="H9" s="6">
        <v>0.66300000000000003</v>
      </c>
      <c r="I9" s="10">
        <f>AVERAGE(B9:H9)/AVERAGE(B7:H7)</f>
        <v>1.0230558096980789</v>
      </c>
      <c r="K9" s="6">
        <v>0.61370000000000002</v>
      </c>
      <c r="L9" s="6">
        <v>0.25280000000000002</v>
      </c>
      <c r="M9" s="6">
        <v>0.45619999999999999</v>
      </c>
      <c r="N9" s="6">
        <v>0.65390000000000004</v>
      </c>
      <c r="O9" s="6">
        <v>0.74980000000000002</v>
      </c>
      <c r="P9" s="6">
        <v>0.71679999999999999</v>
      </c>
      <c r="Q9" s="6">
        <v>0.7036</v>
      </c>
      <c r="S9" s="6">
        <v>0.59279999999999999</v>
      </c>
      <c r="T9" s="6">
        <v>0.2427</v>
      </c>
      <c r="U9" s="6">
        <v>0.42430000000000001</v>
      </c>
      <c r="V9" s="6">
        <v>0.64439999999999997</v>
      </c>
      <c r="W9" s="6">
        <v>0.74419999999999997</v>
      </c>
      <c r="X9" s="6">
        <v>0.76229999999999998</v>
      </c>
      <c r="Y9" s="6">
        <v>0.77100000000000002</v>
      </c>
      <c r="AA9" s="2" t="s">
        <v>101</v>
      </c>
    </row>
    <row r="10" spans="1:27">
      <c r="B10" s="13" t="s">
        <v>23</v>
      </c>
      <c r="C10" s="13" t="s">
        <v>43</v>
      </c>
      <c r="D10" s="13" t="s">
        <v>61</v>
      </c>
      <c r="E10" s="13" t="s">
        <v>60</v>
      </c>
      <c r="F10" s="13" t="s">
        <v>97</v>
      </c>
      <c r="G10" s="13" t="s">
        <v>107</v>
      </c>
      <c r="H10" s="13" t="s">
        <v>147</v>
      </c>
      <c r="I10" s="13"/>
      <c r="K10" s="13" t="s">
        <v>20</v>
      </c>
      <c r="L10" s="13" t="s">
        <v>28</v>
      </c>
      <c r="M10" s="13" t="s">
        <v>32</v>
      </c>
      <c r="N10" s="13" t="s">
        <v>29</v>
      </c>
      <c r="O10" s="13" t="s">
        <v>29</v>
      </c>
      <c r="P10" s="13" t="s">
        <v>23</v>
      </c>
      <c r="Q10" s="13" t="s">
        <v>20</v>
      </c>
      <c r="S10" s="13" t="s">
        <v>25</v>
      </c>
      <c r="T10" s="13" t="s">
        <v>26</v>
      </c>
      <c r="U10" s="13" t="s">
        <v>90</v>
      </c>
      <c r="V10" s="13" t="s">
        <v>20</v>
      </c>
      <c r="W10" s="13" t="s">
        <v>25</v>
      </c>
      <c r="X10" s="13" t="s">
        <v>80</v>
      </c>
      <c r="Y10" s="13" t="s">
        <v>81</v>
      </c>
      <c r="AA10" s="2" t="s">
        <v>102</v>
      </c>
    </row>
    <row r="11" spans="1:27">
      <c r="A11" s="9" t="s">
        <v>7</v>
      </c>
      <c r="B11" s="11">
        <v>0.56340000000000001</v>
      </c>
      <c r="C11" s="11">
        <v>0.20860000000000001</v>
      </c>
      <c r="D11" s="11">
        <v>0.37740000000000001</v>
      </c>
      <c r="E11" s="11">
        <v>0.5796</v>
      </c>
      <c r="F11" s="11">
        <v>0.61270000000000002</v>
      </c>
      <c r="G11" s="11">
        <v>0.61280000000000001</v>
      </c>
      <c r="H11" s="11">
        <v>0.61919999999999997</v>
      </c>
      <c r="I11" s="11"/>
      <c r="K11" s="11">
        <v>0.54749999999999999</v>
      </c>
      <c r="L11" s="11">
        <v>0.191</v>
      </c>
      <c r="M11" s="11">
        <v>0.34720000000000001</v>
      </c>
      <c r="N11" s="11">
        <v>0.56179999999999997</v>
      </c>
      <c r="O11" s="11">
        <v>0.49830000000000002</v>
      </c>
      <c r="P11" s="11">
        <v>0.53029999999999999</v>
      </c>
      <c r="Q11" s="11">
        <v>0.55640000000000001</v>
      </c>
      <c r="S11" s="11">
        <v>0.57920000000000005</v>
      </c>
      <c r="T11" s="11">
        <v>0.20280000000000001</v>
      </c>
      <c r="U11" s="11">
        <v>0.39410000000000001</v>
      </c>
      <c r="V11" s="11">
        <v>0.61980000000000002</v>
      </c>
      <c r="W11" s="11">
        <v>0.73050000000000004</v>
      </c>
      <c r="X11" s="11">
        <v>0.75160000000000005</v>
      </c>
      <c r="Y11" s="11">
        <v>0.7631</v>
      </c>
      <c r="AA11" s="2" t="s">
        <v>103</v>
      </c>
    </row>
    <row r="12" spans="1:27">
      <c r="A12" s="9"/>
      <c r="B12" s="12" t="s">
        <v>20</v>
      </c>
      <c r="C12" s="12" t="s">
        <v>65</v>
      </c>
      <c r="D12" s="12" t="s">
        <v>54</v>
      </c>
      <c r="E12" s="12" t="s">
        <v>61</v>
      </c>
      <c r="F12" s="12" t="s">
        <v>106</v>
      </c>
      <c r="G12" s="12" t="s">
        <v>141</v>
      </c>
      <c r="H12" s="12" t="s">
        <v>90</v>
      </c>
      <c r="I12" s="12"/>
      <c r="K12" s="12" t="s">
        <v>45</v>
      </c>
      <c r="L12" s="12" t="s">
        <v>44</v>
      </c>
      <c r="M12" s="12" t="s">
        <v>28</v>
      </c>
      <c r="N12" s="12" t="s">
        <v>47</v>
      </c>
      <c r="O12" s="12" t="s">
        <v>54</v>
      </c>
      <c r="P12" s="12" t="s">
        <v>18</v>
      </c>
      <c r="Q12" s="12" t="s">
        <v>43</v>
      </c>
      <c r="S12" s="12" t="s">
        <v>94</v>
      </c>
      <c r="T12" s="12" t="s">
        <v>17</v>
      </c>
      <c r="U12" s="12" t="s">
        <v>40</v>
      </c>
      <c r="V12" s="12" t="s">
        <v>95</v>
      </c>
      <c r="W12" s="12" t="s">
        <v>92</v>
      </c>
      <c r="X12" s="12" t="s">
        <v>6</v>
      </c>
      <c r="Y12" s="12" t="s">
        <v>41</v>
      </c>
    </row>
    <row r="13" spans="1:27">
      <c r="A13" s="9" t="s">
        <v>11</v>
      </c>
      <c r="B13" s="10">
        <v>0.60680000000000001</v>
      </c>
      <c r="C13" s="10">
        <v>0.25480000000000003</v>
      </c>
      <c r="D13" s="10">
        <v>0.44409999999999999</v>
      </c>
      <c r="E13" s="10">
        <v>0.63439999999999996</v>
      </c>
      <c r="F13" s="10">
        <v>0.66080000000000005</v>
      </c>
      <c r="G13" s="10">
        <v>0.65629999999999999</v>
      </c>
      <c r="H13" s="10">
        <v>0.65659999999999996</v>
      </c>
      <c r="I13" s="10">
        <f>AVERAGE(B13:H13)/AVERAGE(B11:H11)</f>
        <v>1.0951674734868622</v>
      </c>
      <c r="K13" s="10">
        <v>0.55320000000000003</v>
      </c>
      <c r="L13" s="10">
        <v>0.2011</v>
      </c>
      <c r="M13" s="10">
        <v>0.3528</v>
      </c>
      <c r="N13" s="10">
        <v>0.57079999999999997</v>
      </c>
      <c r="O13" s="10">
        <v>0.53779999999999994</v>
      </c>
      <c r="P13" s="10">
        <v>0.55979999999999996</v>
      </c>
      <c r="Q13" s="10">
        <v>0.57889999999999997</v>
      </c>
      <c r="S13" s="10">
        <v>0.59189999999999998</v>
      </c>
      <c r="T13" s="10">
        <v>0.22550000000000001</v>
      </c>
      <c r="U13" s="10">
        <v>0.4249</v>
      </c>
      <c r="V13" s="10">
        <v>0.63649999999999995</v>
      </c>
      <c r="W13" s="10">
        <v>0.74860000000000004</v>
      </c>
      <c r="X13" s="10">
        <v>0.76529999999999998</v>
      </c>
      <c r="Y13" s="10">
        <v>0.77310000000000001</v>
      </c>
    </row>
    <row r="14" spans="1:27">
      <c r="A14" s="9"/>
      <c r="B14" s="12" t="s">
        <v>40</v>
      </c>
      <c r="C14" s="12" t="s">
        <v>43</v>
      </c>
      <c r="D14" s="12" t="s">
        <v>60</v>
      </c>
      <c r="E14" s="12" t="s">
        <v>45</v>
      </c>
      <c r="F14" s="12" t="s">
        <v>106</v>
      </c>
      <c r="G14" s="12" t="s">
        <v>141</v>
      </c>
      <c r="H14" s="12" t="s">
        <v>141</v>
      </c>
      <c r="I14" s="12"/>
      <c r="K14" s="12" t="s">
        <v>26</v>
      </c>
      <c r="L14" s="12" t="s">
        <v>18</v>
      </c>
      <c r="M14" s="12" t="s">
        <v>61</v>
      </c>
      <c r="N14" s="12" t="s">
        <v>19</v>
      </c>
      <c r="O14" s="12" t="s">
        <v>63</v>
      </c>
      <c r="P14" s="12" t="s">
        <v>31</v>
      </c>
      <c r="Q14" s="12" t="s">
        <v>45</v>
      </c>
      <c r="S14" s="12" t="s">
        <v>92</v>
      </c>
      <c r="T14" s="12" t="s">
        <v>96</v>
      </c>
      <c r="U14" s="12" t="s">
        <v>108</v>
      </c>
      <c r="V14" s="12" t="s">
        <v>24</v>
      </c>
      <c r="W14" s="12" t="s">
        <v>97</v>
      </c>
      <c r="X14" s="12" t="s">
        <v>94</v>
      </c>
      <c r="Y14" s="12" t="s">
        <v>6</v>
      </c>
    </row>
    <row r="15" spans="1:27">
      <c r="A15" s="17" t="s">
        <v>3</v>
      </c>
      <c r="B15" s="18">
        <v>0.59840000000000004</v>
      </c>
      <c r="C15" s="18">
        <v>0.22869999999999999</v>
      </c>
      <c r="D15" s="18">
        <v>0.42230000000000001</v>
      </c>
      <c r="E15" s="18">
        <v>0.61580000000000001</v>
      </c>
      <c r="F15" s="18">
        <v>0.625</v>
      </c>
      <c r="G15" s="18">
        <v>0.62470000000000003</v>
      </c>
      <c r="H15" s="18">
        <v>0.62729999999999997</v>
      </c>
      <c r="I15" s="18"/>
      <c r="K15" s="5">
        <v>0.5393</v>
      </c>
      <c r="L15" s="5">
        <v>0.18090000000000001</v>
      </c>
      <c r="M15" s="5">
        <v>0.32250000000000001</v>
      </c>
      <c r="N15" s="5">
        <v>0.53369999999999995</v>
      </c>
      <c r="O15" s="5">
        <v>0.71730000000000005</v>
      </c>
      <c r="P15" s="5">
        <v>0.69210000000000005</v>
      </c>
      <c r="Q15" s="5">
        <v>0.67979999999999996</v>
      </c>
      <c r="S15" s="5">
        <v>0.59379999999999999</v>
      </c>
      <c r="T15" s="5">
        <v>0.21659999999999999</v>
      </c>
      <c r="U15" s="5">
        <v>0.42049999999999998</v>
      </c>
      <c r="V15" s="5">
        <v>0.64710000000000001</v>
      </c>
      <c r="W15" s="5">
        <v>0.73819999999999997</v>
      </c>
      <c r="X15" s="5">
        <v>0.75219999999999998</v>
      </c>
      <c r="Y15" s="5">
        <v>0.76060000000000005</v>
      </c>
    </row>
    <row r="16" spans="1:27">
      <c r="A16" s="17"/>
      <c r="B16" s="19" t="s">
        <v>26</v>
      </c>
      <c r="C16" s="19" t="s">
        <v>43</v>
      </c>
      <c r="D16" s="19" t="s">
        <v>74</v>
      </c>
      <c r="E16" s="19" t="s">
        <v>106</v>
      </c>
      <c r="F16" s="19" t="s">
        <v>108</v>
      </c>
      <c r="G16" s="19" t="s">
        <v>110</v>
      </c>
      <c r="H16" s="19" t="s">
        <v>111</v>
      </c>
      <c r="I16" s="19"/>
      <c r="K16" s="13" t="s">
        <v>27</v>
      </c>
      <c r="L16" s="13" t="s">
        <v>32</v>
      </c>
      <c r="M16" s="13" t="s">
        <v>32</v>
      </c>
      <c r="N16" s="13" t="s">
        <v>18</v>
      </c>
      <c r="O16" s="13" t="s">
        <v>67</v>
      </c>
      <c r="P16" s="13" t="s">
        <v>66</v>
      </c>
      <c r="Q16" s="13" t="s">
        <v>55</v>
      </c>
      <c r="S16" s="13" t="s">
        <v>41</v>
      </c>
      <c r="T16" s="13" t="s">
        <v>80</v>
      </c>
      <c r="U16" s="13" t="s">
        <v>172</v>
      </c>
      <c r="V16" s="13" t="s">
        <v>80</v>
      </c>
      <c r="W16" s="13" t="s">
        <v>81</v>
      </c>
      <c r="X16" s="13" t="s">
        <v>79</v>
      </c>
      <c r="Y16" s="13" t="s">
        <v>93</v>
      </c>
    </row>
    <row r="17" spans="1:26">
      <c r="A17" s="17" t="s">
        <v>12</v>
      </c>
      <c r="B17" s="20">
        <v>0.62370000000000003</v>
      </c>
      <c r="C17" s="20">
        <v>0.27960000000000002</v>
      </c>
      <c r="D17" s="20">
        <v>0.45050000000000001</v>
      </c>
      <c r="E17" s="20">
        <v>0.64729999999999999</v>
      </c>
      <c r="F17" s="20">
        <v>0.64880000000000004</v>
      </c>
      <c r="G17" s="20">
        <v>0.6492</v>
      </c>
      <c r="H17" s="20">
        <v>0.65200000000000002</v>
      </c>
      <c r="I17" s="10">
        <f>AVERAGE(B17:H17)/AVERAGE(B15:H15)</f>
        <v>1.055822778045</v>
      </c>
      <c r="J17" s="1" t="s">
        <v>105</v>
      </c>
      <c r="K17" s="6">
        <v>0.57669999999999999</v>
      </c>
      <c r="L17" s="6">
        <v>0.23930000000000001</v>
      </c>
      <c r="M17" s="6">
        <v>0.39889999999999998</v>
      </c>
      <c r="N17" s="6">
        <v>0.57979999999999998</v>
      </c>
      <c r="O17" s="6">
        <v>0.76439999999999997</v>
      </c>
      <c r="P17" s="6">
        <v>0.70709999999999995</v>
      </c>
      <c r="Q17" s="6">
        <v>0.68110000000000004</v>
      </c>
      <c r="S17" s="6">
        <v>0.59930000000000005</v>
      </c>
      <c r="T17" s="6">
        <v>0.22189999999999999</v>
      </c>
      <c r="U17" s="6">
        <v>0.43309999999999998</v>
      </c>
      <c r="V17" s="6">
        <v>0.66069999999999995</v>
      </c>
      <c r="W17" s="6">
        <v>0.75239999999999996</v>
      </c>
      <c r="X17" s="6">
        <v>0.75480000000000003</v>
      </c>
      <c r="Y17" s="6">
        <v>0.76859999999999995</v>
      </c>
      <c r="Z17" s="2" t="s">
        <v>98</v>
      </c>
    </row>
    <row r="18" spans="1:26">
      <c r="A18" s="21"/>
      <c r="B18" s="22" t="s">
        <v>26</v>
      </c>
      <c r="C18" s="22" t="s">
        <v>45</v>
      </c>
      <c r="D18" s="22" t="s">
        <v>55</v>
      </c>
      <c r="E18" s="22" t="s">
        <v>107</v>
      </c>
      <c r="F18" s="22" t="s">
        <v>106</v>
      </c>
      <c r="G18" s="22" t="s">
        <v>109</v>
      </c>
      <c r="H18" s="22" t="s">
        <v>108</v>
      </c>
      <c r="I18" s="22"/>
      <c r="K18" s="14" t="s">
        <v>17</v>
      </c>
      <c r="L18" s="14" t="s">
        <v>20</v>
      </c>
      <c r="M18" s="14" t="s">
        <v>33</v>
      </c>
      <c r="N18" s="14" t="s">
        <v>20</v>
      </c>
      <c r="O18" s="14" t="s">
        <v>47</v>
      </c>
      <c r="P18" s="14" t="s">
        <v>58</v>
      </c>
      <c r="Q18" s="14" t="s">
        <v>43</v>
      </c>
      <c r="S18" s="14" t="s">
        <v>81</v>
      </c>
      <c r="T18" s="14" t="s">
        <v>26</v>
      </c>
      <c r="U18" s="14" t="s">
        <v>25</v>
      </c>
      <c r="V18" s="14" t="s">
        <v>94</v>
      </c>
      <c r="W18" s="14" t="s">
        <v>92</v>
      </c>
      <c r="X18" s="14" t="s">
        <v>81</v>
      </c>
      <c r="Y18" s="14" t="s">
        <v>79</v>
      </c>
    </row>
    <row r="19" spans="1:26" s="3" customFormat="1">
      <c r="A19" s="9" t="s">
        <v>13</v>
      </c>
      <c r="B19" s="11">
        <v>0.59860000000000002</v>
      </c>
      <c r="C19" s="11">
        <v>0.21940000000000001</v>
      </c>
      <c r="D19" s="11">
        <v>0.40649999999999997</v>
      </c>
      <c r="E19" s="11">
        <v>0.63549999999999995</v>
      </c>
      <c r="F19" s="11">
        <v>0.59489999999999998</v>
      </c>
      <c r="G19" s="11">
        <v>0.60780000000000001</v>
      </c>
      <c r="H19" s="11">
        <v>0.6169</v>
      </c>
      <c r="I19" s="11"/>
      <c r="J19" s="1"/>
      <c r="K19" s="11">
        <v>0.55469999999999997</v>
      </c>
      <c r="L19" s="11">
        <v>0.18540000000000001</v>
      </c>
      <c r="M19" s="11">
        <v>0.37869999999999998</v>
      </c>
      <c r="N19" s="10">
        <v>0.57750000000000001</v>
      </c>
      <c r="O19" s="11">
        <v>0.45440000000000003</v>
      </c>
      <c r="P19" s="11">
        <v>0.51600000000000001</v>
      </c>
      <c r="Q19" s="11">
        <v>0.54549999999999998</v>
      </c>
      <c r="S19" s="11">
        <v>0.59089999999999998</v>
      </c>
      <c r="T19" s="11">
        <v>0.21590000000000001</v>
      </c>
      <c r="U19" s="11">
        <v>0.41489999999999999</v>
      </c>
      <c r="V19" s="11">
        <v>0.64349999999999996</v>
      </c>
      <c r="W19" s="11">
        <v>0.73219999999999996</v>
      </c>
      <c r="X19" s="11">
        <v>0.74980000000000002</v>
      </c>
      <c r="Y19" s="11">
        <v>0.76219999999999999</v>
      </c>
    </row>
    <row r="20" spans="1:26" s="3" customFormat="1">
      <c r="A20" s="9" t="s">
        <v>15</v>
      </c>
      <c r="B20" s="15" t="s">
        <v>20</v>
      </c>
      <c r="C20" s="15" t="s">
        <v>42</v>
      </c>
      <c r="D20" s="15" t="s">
        <v>18</v>
      </c>
      <c r="E20" s="15" t="s">
        <v>57</v>
      </c>
      <c r="F20" s="15" t="s">
        <v>141</v>
      </c>
      <c r="G20" s="15" t="s">
        <v>141</v>
      </c>
      <c r="H20" s="15" t="s">
        <v>141</v>
      </c>
      <c r="I20" s="15"/>
      <c r="J20" s="1"/>
      <c r="K20" s="15" t="s">
        <v>25</v>
      </c>
      <c r="L20" s="15" t="s">
        <v>57</v>
      </c>
      <c r="M20" s="15" t="s">
        <v>20</v>
      </c>
      <c r="N20" s="15" t="s">
        <v>31</v>
      </c>
      <c r="O20" s="15" t="s">
        <v>68</v>
      </c>
      <c r="P20" s="15" t="s">
        <v>55</v>
      </c>
      <c r="Q20" s="15" t="s">
        <v>21</v>
      </c>
      <c r="S20" s="15" t="s">
        <v>80</v>
      </c>
      <c r="T20" s="15" t="s">
        <v>92</v>
      </c>
      <c r="U20" s="15" t="s">
        <v>85</v>
      </c>
      <c r="V20" s="15" t="s">
        <v>99</v>
      </c>
      <c r="W20" s="15" t="s">
        <v>81</v>
      </c>
      <c r="X20" s="15" t="s">
        <v>79</v>
      </c>
      <c r="Y20" s="15" t="s">
        <v>93</v>
      </c>
    </row>
    <row r="21" spans="1:26" s="3" customFormat="1">
      <c r="A21" s="9" t="s">
        <v>8</v>
      </c>
      <c r="B21" s="10">
        <v>0.60340000000000005</v>
      </c>
      <c r="C21" s="10">
        <v>0.24299999999999999</v>
      </c>
      <c r="D21" s="10">
        <v>0.41610000000000003</v>
      </c>
      <c r="E21" s="10">
        <v>0.64410000000000001</v>
      </c>
      <c r="F21" s="10">
        <v>0.61009999999999998</v>
      </c>
      <c r="G21" s="10">
        <v>0.61809999999999998</v>
      </c>
      <c r="H21" s="10">
        <v>0.62529999999999997</v>
      </c>
      <c r="I21" s="10">
        <f>AVERAGE(B21:H21)/AVERAGE(B19:H19)</f>
        <v>1.021877377975867</v>
      </c>
      <c r="J21" s="1"/>
      <c r="K21" s="10">
        <v>0.56489999999999996</v>
      </c>
      <c r="L21" s="10">
        <v>0.2034</v>
      </c>
      <c r="M21" s="10">
        <v>0.3831</v>
      </c>
      <c r="N21" s="11">
        <v>0.56969999999999998</v>
      </c>
      <c r="O21" s="10">
        <v>0.60350000000000004</v>
      </c>
      <c r="P21" s="10">
        <v>0.61040000000000005</v>
      </c>
      <c r="Q21" s="10">
        <v>0.61260000000000003</v>
      </c>
      <c r="R21" s="3" t="s">
        <v>73</v>
      </c>
      <c r="S21" s="10">
        <v>0.59499999999999997</v>
      </c>
      <c r="T21" s="10">
        <v>0.2225</v>
      </c>
      <c r="U21" s="10">
        <v>0.43</v>
      </c>
      <c r="V21" s="10">
        <v>0.6542</v>
      </c>
      <c r="W21" s="10">
        <v>0.74509999999999998</v>
      </c>
      <c r="X21" s="10">
        <v>0.76119999999999999</v>
      </c>
      <c r="Y21" s="10">
        <v>0.77290000000000003</v>
      </c>
      <c r="Z21" s="3" t="s">
        <v>98</v>
      </c>
    </row>
    <row r="22" spans="1:26" s="3" customFormat="1">
      <c r="A22" s="9"/>
      <c r="B22" s="15" t="s">
        <v>45</v>
      </c>
      <c r="C22" s="15" t="s">
        <v>55</v>
      </c>
      <c r="D22" s="15" t="s">
        <v>65</v>
      </c>
      <c r="E22" s="15" t="s">
        <v>19</v>
      </c>
      <c r="F22" s="15" t="s">
        <v>90</v>
      </c>
      <c r="G22" s="15" t="s">
        <v>106</v>
      </c>
      <c r="H22" s="15" t="s">
        <v>132</v>
      </c>
      <c r="I22" s="15"/>
      <c r="J22" s="1"/>
      <c r="K22" s="15" t="s">
        <v>26</v>
      </c>
      <c r="L22" s="12" t="s">
        <v>42</v>
      </c>
      <c r="M22" s="12" t="s">
        <v>57</v>
      </c>
      <c r="N22" s="12" t="s">
        <v>42</v>
      </c>
      <c r="O22" s="12" t="s">
        <v>76</v>
      </c>
      <c r="P22" s="12" t="s">
        <v>77</v>
      </c>
      <c r="Q22" s="12" t="s">
        <v>32</v>
      </c>
      <c r="S22" s="15" t="s">
        <v>6</v>
      </c>
      <c r="T22" s="12" t="s">
        <v>40</v>
      </c>
      <c r="U22" s="12" t="s">
        <v>89</v>
      </c>
      <c r="V22" s="12" t="s">
        <v>80</v>
      </c>
      <c r="W22" s="12" t="s">
        <v>100</v>
      </c>
      <c r="X22" s="12" t="s">
        <v>41</v>
      </c>
      <c r="Y22" s="12" t="s">
        <v>79</v>
      </c>
    </row>
    <row r="23" spans="1:26" s="3" customFormat="1">
      <c r="A23" s="4"/>
      <c r="B23" s="4"/>
      <c r="C23" s="4"/>
      <c r="D23" s="4"/>
      <c r="E23" s="4"/>
      <c r="F23" s="4"/>
      <c r="G23" s="4"/>
      <c r="H23" s="4"/>
      <c r="I23" s="4"/>
      <c r="J23" s="1"/>
      <c r="K23" s="4"/>
      <c r="L23" s="4"/>
      <c r="M23" s="4"/>
      <c r="N23" s="4"/>
      <c r="O23" s="4"/>
      <c r="P23" s="4"/>
      <c r="Q23" s="4"/>
      <c r="S23" s="4"/>
      <c r="T23" s="4"/>
      <c r="U23" s="4"/>
      <c r="V23" s="4"/>
      <c r="W23" s="4"/>
      <c r="X23" s="4"/>
      <c r="Y23" s="4"/>
    </row>
    <row r="24" spans="1:26" s="3" customFormat="1">
      <c r="A24" s="4" t="s">
        <v>139</v>
      </c>
      <c r="B24" s="4"/>
      <c r="C24" s="4"/>
      <c r="D24" s="4"/>
      <c r="E24" s="4"/>
      <c r="F24" s="4"/>
      <c r="G24" s="4"/>
      <c r="H24" s="4"/>
      <c r="I24" s="4"/>
      <c r="J24" s="24" t="s">
        <v>173</v>
      </c>
      <c r="K24" s="26" t="s">
        <v>178</v>
      </c>
      <c r="L24" s="4" t="s">
        <v>174</v>
      </c>
      <c r="M24" s="4" t="s">
        <v>175</v>
      </c>
      <c r="N24" s="4"/>
      <c r="O24" s="4"/>
      <c r="P24" s="4"/>
      <c r="Q24" s="4"/>
      <c r="S24" s="4"/>
      <c r="T24" s="4"/>
      <c r="U24" s="4"/>
      <c r="V24" s="4"/>
      <c r="W24" s="4"/>
      <c r="X24" s="4"/>
      <c r="Y24" s="4"/>
    </row>
    <row r="25" spans="1:26">
      <c r="A25" s="1" t="s">
        <v>158</v>
      </c>
      <c r="B25" s="5">
        <v>0.6048</v>
      </c>
      <c r="C25" s="5">
        <v>0.23050000000000001</v>
      </c>
      <c r="D25" s="5">
        <v>0.41560000000000002</v>
      </c>
      <c r="E25" s="5">
        <v>0.62019999999999997</v>
      </c>
      <c r="F25" s="5">
        <v>0.62439999999999996</v>
      </c>
      <c r="G25" s="5">
        <v>0.62909999999999999</v>
      </c>
      <c r="H25" s="5">
        <v>0.6391</v>
      </c>
      <c r="I25" s="5"/>
      <c r="J25" s="1" t="s">
        <v>174</v>
      </c>
      <c r="L25" s="1">
        <f>C25*1065*2-160</f>
        <v>330.96500000000003</v>
      </c>
      <c r="M25" s="1">
        <f>D25*1065*2-320</f>
        <v>565.22800000000007</v>
      </c>
    </row>
    <row r="26" spans="1:26">
      <c r="B26" s="14" t="s">
        <v>43</v>
      </c>
      <c r="C26" s="14" t="s">
        <v>107</v>
      </c>
      <c r="D26" s="14" t="s">
        <v>99</v>
      </c>
      <c r="E26" s="14" t="s">
        <v>99</v>
      </c>
      <c r="F26" s="14" t="s">
        <v>106</v>
      </c>
      <c r="G26" s="14" t="s">
        <v>99</v>
      </c>
      <c r="H26" s="14" t="s">
        <v>97</v>
      </c>
      <c r="I26" s="14"/>
      <c r="J26" s="27" t="s">
        <v>177</v>
      </c>
    </row>
    <row r="27" spans="1:26">
      <c r="A27" s="1" t="s">
        <v>140</v>
      </c>
      <c r="B27" s="5">
        <v>0.55579999999999996</v>
      </c>
      <c r="C27" s="5">
        <v>0.2</v>
      </c>
      <c r="D27" s="5">
        <v>0.35909999999999997</v>
      </c>
      <c r="E27" s="5">
        <v>0.58169999999999999</v>
      </c>
      <c r="F27" s="5">
        <v>0.5827</v>
      </c>
      <c r="G27" s="5">
        <v>0.58789999999999998</v>
      </c>
      <c r="H27" s="5">
        <v>0.59960000000000002</v>
      </c>
      <c r="I27" s="5"/>
      <c r="J27" s="1" t="s">
        <v>175</v>
      </c>
      <c r="L27" s="1">
        <f>C27*1065*2-160</f>
        <v>266</v>
      </c>
      <c r="M27" s="1">
        <f>D27*1065*2-320</f>
        <v>444.88299999999992</v>
      </c>
    </row>
    <row r="28" spans="1:26">
      <c r="B28" s="14" t="s">
        <v>23</v>
      </c>
      <c r="C28" s="14" t="s">
        <v>20</v>
      </c>
      <c r="D28" s="14" t="s">
        <v>110</v>
      </c>
      <c r="E28" s="14" t="s">
        <v>141</v>
      </c>
      <c r="F28" s="14" t="s">
        <v>110</v>
      </c>
      <c r="G28" s="14" t="s">
        <v>138</v>
      </c>
      <c r="H28" s="14" t="s">
        <v>136</v>
      </c>
      <c r="I28" s="14"/>
      <c r="J28" s="28" t="s">
        <v>176</v>
      </c>
    </row>
    <row r="29" spans="1:26">
      <c r="A29" s="1" t="s">
        <v>162</v>
      </c>
      <c r="B29" s="5">
        <v>0.60519999999999996</v>
      </c>
      <c r="C29" s="5">
        <v>0.2455</v>
      </c>
      <c r="D29" s="5">
        <v>0.41610000000000003</v>
      </c>
      <c r="E29" s="5">
        <v>0.59530000000000005</v>
      </c>
      <c r="F29" s="5">
        <v>0.62980000000000003</v>
      </c>
      <c r="G29" s="5">
        <v>0.6331</v>
      </c>
      <c r="H29" s="5">
        <v>0.63470000000000004</v>
      </c>
      <c r="I29" s="5"/>
      <c r="L29" s="1">
        <f>C29*1065*2-160</f>
        <v>362.91499999999996</v>
      </c>
      <c r="M29" s="1">
        <f>D29*1065*2-320</f>
        <v>566.29300000000001</v>
      </c>
    </row>
    <row r="30" spans="1:26">
      <c r="B30" s="14" t="s">
        <v>21</v>
      </c>
      <c r="C30" s="14" t="s">
        <v>107</v>
      </c>
      <c r="D30" s="14" t="s">
        <v>163</v>
      </c>
      <c r="E30" s="14" t="s">
        <v>28</v>
      </c>
      <c r="F30" s="14" t="s">
        <v>147</v>
      </c>
      <c r="G30" s="14" t="s">
        <v>74</v>
      </c>
      <c r="H30" s="14" t="s">
        <v>108</v>
      </c>
      <c r="I30" s="14"/>
      <c r="J30" s="24" t="s">
        <v>179</v>
      </c>
    </row>
    <row r="31" spans="1:26">
      <c r="A31" s="1" t="s">
        <v>142</v>
      </c>
      <c r="B31" s="14" t="s">
        <v>143</v>
      </c>
      <c r="C31" s="14" t="s">
        <v>144</v>
      </c>
      <c r="D31" s="14" t="s">
        <v>145</v>
      </c>
      <c r="E31" s="14" t="s">
        <v>146</v>
      </c>
      <c r="F31" s="14" t="s">
        <v>159</v>
      </c>
      <c r="G31" s="14" t="s">
        <v>160</v>
      </c>
      <c r="H31" s="14" t="s">
        <v>161</v>
      </c>
      <c r="I31" s="5"/>
      <c r="J31" s="23" t="s">
        <v>180</v>
      </c>
      <c r="L31" s="1">
        <f>C31*1065*2-160</f>
        <v>273.45499999999998</v>
      </c>
      <c r="M31" s="1">
        <f>D31*1065*2-320</f>
        <v>525.82299999999998</v>
      </c>
    </row>
    <row r="32" spans="1:26">
      <c r="B32" s="14" t="s">
        <v>40</v>
      </c>
      <c r="C32" s="14" t="s">
        <v>111</v>
      </c>
      <c r="D32" s="14" t="s">
        <v>136</v>
      </c>
      <c r="E32" s="14" t="s">
        <v>147</v>
      </c>
      <c r="F32" s="14" t="s">
        <v>90</v>
      </c>
      <c r="G32" s="14" t="s">
        <v>110</v>
      </c>
      <c r="H32" s="14" t="s">
        <v>106</v>
      </c>
      <c r="I32" s="14"/>
      <c r="J32" s="23"/>
    </row>
    <row r="33" spans="1:13">
      <c r="A33" s="1" t="s">
        <v>148</v>
      </c>
      <c r="B33" s="5">
        <v>0.56430000000000002</v>
      </c>
      <c r="C33" s="5">
        <v>0.2205</v>
      </c>
      <c r="D33" s="5">
        <v>0.40749999999999997</v>
      </c>
      <c r="E33" s="5">
        <v>0.61799999999999999</v>
      </c>
      <c r="F33" s="5">
        <v>0.59730000000000005</v>
      </c>
      <c r="G33" s="5">
        <v>0.59899999999999998</v>
      </c>
      <c r="H33" s="5">
        <v>0.60040000000000004</v>
      </c>
      <c r="I33" s="5"/>
      <c r="L33" s="1">
        <f>C33*1065*2-160</f>
        <v>309.66500000000002</v>
      </c>
      <c r="M33" s="1">
        <f>D33*1065*2-320</f>
        <v>547.97499999999991</v>
      </c>
    </row>
    <row r="34" spans="1:13">
      <c r="B34" s="14" t="s">
        <v>28</v>
      </c>
      <c r="C34" s="14" t="s">
        <v>21</v>
      </c>
      <c r="D34" s="14" t="s">
        <v>30</v>
      </c>
      <c r="E34" s="14" t="s">
        <v>109</v>
      </c>
      <c r="F34" s="14" t="s">
        <v>157</v>
      </c>
      <c r="G34" s="14" t="s">
        <v>157</v>
      </c>
      <c r="H34" s="14" t="s">
        <v>141</v>
      </c>
      <c r="I34" s="14"/>
      <c r="J34" s="24"/>
    </row>
    <row r="35" spans="1:13">
      <c r="A35" s="1" t="s">
        <v>149</v>
      </c>
      <c r="B35" s="14" t="s">
        <v>150</v>
      </c>
      <c r="C35" s="14" t="s">
        <v>151</v>
      </c>
      <c r="D35" s="14" t="s">
        <v>152</v>
      </c>
      <c r="E35" s="14" t="s">
        <v>153</v>
      </c>
      <c r="F35" s="14" t="s">
        <v>154</v>
      </c>
      <c r="G35" s="14" t="s">
        <v>155</v>
      </c>
      <c r="H35" s="14" t="s">
        <v>156</v>
      </c>
      <c r="I35" s="5"/>
      <c r="L35" s="1">
        <f>C35*1065*2-160</f>
        <v>332.66900000000004</v>
      </c>
      <c r="M35" s="1">
        <f>D35*1065*2-320</f>
        <v>529.01800000000003</v>
      </c>
    </row>
    <row r="36" spans="1:13">
      <c r="B36" s="14" t="s">
        <v>40</v>
      </c>
      <c r="C36" s="14" t="s">
        <v>42</v>
      </c>
      <c r="D36" s="14" t="s">
        <v>29</v>
      </c>
      <c r="E36" s="14" t="s">
        <v>132</v>
      </c>
      <c r="F36" s="14" t="s">
        <v>110</v>
      </c>
      <c r="G36" s="14" t="s">
        <v>106</v>
      </c>
      <c r="H36" s="14" t="s">
        <v>108</v>
      </c>
      <c r="I36" s="14"/>
      <c r="J36" s="24"/>
    </row>
    <row r="37" spans="1:13">
      <c r="A37" s="17" t="s">
        <v>165</v>
      </c>
      <c r="B37" s="20">
        <v>0.62370000000000003</v>
      </c>
      <c r="C37" s="20">
        <v>0.27960000000000002</v>
      </c>
      <c r="D37" s="20">
        <v>0.45050000000000001</v>
      </c>
      <c r="E37" s="20">
        <v>0.64729999999999999</v>
      </c>
      <c r="F37" s="20">
        <v>0.64880000000000004</v>
      </c>
      <c r="G37" s="20">
        <v>0.6492</v>
      </c>
      <c r="H37" s="20">
        <v>0.65200000000000002</v>
      </c>
      <c r="I37" s="20" t="s">
        <v>166</v>
      </c>
      <c r="L37" s="1">
        <f>C37*1065*2-160</f>
        <v>435.548</v>
      </c>
      <c r="M37" s="1">
        <f>D37*1065*2-320</f>
        <v>639.56500000000005</v>
      </c>
    </row>
    <row r="38" spans="1:13">
      <c r="A38" s="21"/>
      <c r="B38" s="22" t="s">
        <v>26</v>
      </c>
      <c r="C38" s="22" t="s">
        <v>45</v>
      </c>
      <c r="D38" s="22" t="s">
        <v>55</v>
      </c>
      <c r="E38" s="22" t="s">
        <v>107</v>
      </c>
      <c r="F38" s="22" t="s">
        <v>106</v>
      </c>
      <c r="G38" s="22" t="s">
        <v>109</v>
      </c>
      <c r="H38" s="22" t="s">
        <v>108</v>
      </c>
      <c r="I38" s="22"/>
      <c r="L38" s="1">
        <f>L37/L29</f>
        <v>1.2001377733077996</v>
      </c>
      <c r="M38" s="1">
        <f>M37/M29</f>
        <v>1.129388849941638</v>
      </c>
    </row>
    <row r="39" spans="1:13">
      <c r="B39" s="14"/>
      <c r="C39" s="14"/>
      <c r="D39" s="14"/>
      <c r="E39" s="14"/>
      <c r="F39" s="14"/>
      <c r="G39" s="14"/>
      <c r="H39" s="14"/>
      <c r="I39" s="14"/>
      <c r="L39" s="1" t="s">
        <v>181</v>
      </c>
      <c r="M39" s="1" t="s">
        <v>182</v>
      </c>
    </row>
    <row r="40" spans="1:13">
      <c r="A40" s="1" t="s">
        <v>131</v>
      </c>
    </row>
    <row r="41" spans="1:13">
      <c r="A41" s="17" t="s">
        <v>165</v>
      </c>
      <c r="B41" s="20">
        <v>0.62370000000000003</v>
      </c>
      <c r="C41" s="20">
        <v>0.27960000000000002</v>
      </c>
      <c r="D41" s="20">
        <v>0.45050000000000001</v>
      </c>
      <c r="E41" s="20">
        <v>0.64729999999999999</v>
      </c>
      <c r="F41" s="20">
        <v>0.64880000000000004</v>
      </c>
      <c r="G41" s="20">
        <v>0.6492</v>
      </c>
      <c r="H41" s="20">
        <v>0.65200000000000002</v>
      </c>
      <c r="I41" s="20"/>
    </row>
    <row r="42" spans="1:13">
      <c r="A42" s="21"/>
      <c r="B42" s="22" t="s">
        <v>26</v>
      </c>
      <c r="C42" s="22" t="s">
        <v>45</v>
      </c>
      <c r="D42" s="22" t="s">
        <v>55</v>
      </c>
      <c r="E42" s="22" t="s">
        <v>107</v>
      </c>
      <c r="F42" s="22" t="s">
        <v>106</v>
      </c>
      <c r="G42" s="22" t="s">
        <v>109</v>
      </c>
      <c r="H42" s="22" t="s">
        <v>108</v>
      </c>
      <c r="I42" s="22"/>
    </row>
    <row r="43" spans="1:13">
      <c r="A43" s="1" t="s">
        <v>168</v>
      </c>
      <c r="B43" s="5">
        <v>0.60570000000000002</v>
      </c>
      <c r="C43" s="5">
        <v>0.21940000000000001</v>
      </c>
      <c r="D43" s="5">
        <v>0.40749999999999997</v>
      </c>
      <c r="E43" s="5">
        <v>0.62770000000000004</v>
      </c>
      <c r="F43" s="5">
        <v>0.61890000000000001</v>
      </c>
      <c r="G43" s="5">
        <v>0.62109999999999999</v>
      </c>
      <c r="H43" s="5">
        <v>0.62849999999999995</v>
      </c>
      <c r="I43" s="5"/>
    </row>
    <row r="44" spans="1:13">
      <c r="B44" s="14" t="s">
        <v>83</v>
      </c>
      <c r="C44" s="14" t="s">
        <v>74</v>
      </c>
      <c r="D44" s="14" t="s">
        <v>108</v>
      </c>
      <c r="E44" s="14" t="s">
        <v>91</v>
      </c>
      <c r="F44" s="14" t="s">
        <v>84</v>
      </c>
      <c r="G44" s="14" t="s">
        <v>97</v>
      </c>
      <c r="H44" s="14" t="s">
        <v>84</v>
      </c>
      <c r="I44" s="14"/>
    </row>
    <row r="45" spans="1:13">
      <c r="A45" s="1" t="s">
        <v>169</v>
      </c>
      <c r="B45" s="5">
        <v>0.59660000000000002</v>
      </c>
      <c r="C45" s="5">
        <v>0.2344</v>
      </c>
      <c r="D45" s="5">
        <v>0.42580000000000001</v>
      </c>
      <c r="E45" s="5">
        <v>0.6129</v>
      </c>
      <c r="F45" s="5">
        <v>0.57399999999999995</v>
      </c>
      <c r="G45" s="5">
        <v>0.59509999999999996</v>
      </c>
      <c r="H45" s="5">
        <v>0.60799999999999998</v>
      </c>
      <c r="I45" s="5"/>
    </row>
    <row r="46" spans="1:13">
      <c r="B46" s="14" t="s">
        <v>90</v>
      </c>
      <c r="C46" s="14" t="s">
        <v>111</v>
      </c>
      <c r="D46" s="14" t="s">
        <v>132</v>
      </c>
      <c r="E46" s="14" t="s">
        <v>90</v>
      </c>
      <c r="F46" s="14" t="s">
        <v>75</v>
      </c>
      <c r="G46" s="14" t="s">
        <v>133</v>
      </c>
      <c r="H46" s="14" t="s">
        <v>134</v>
      </c>
      <c r="I46" s="14"/>
    </row>
    <row r="47" spans="1:13">
      <c r="A47" s="1" t="s">
        <v>171</v>
      </c>
      <c r="B47" s="5">
        <v>0.60609999999999997</v>
      </c>
      <c r="C47" s="5">
        <v>0.25700000000000001</v>
      </c>
      <c r="D47" s="5">
        <v>0.43009999999999998</v>
      </c>
      <c r="E47" s="5">
        <v>0.62370000000000003</v>
      </c>
      <c r="F47" s="5">
        <v>0.62949999999999995</v>
      </c>
      <c r="G47" s="5">
        <v>0.63319999999999999</v>
      </c>
      <c r="H47" s="5">
        <v>0.63629999999999998</v>
      </c>
      <c r="I47" s="5"/>
    </row>
    <row r="48" spans="1:13">
      <c r="B48" s="14" t="s">
        <v>106</v>
      </c>
      <c r="C48" s="14" t="s">
        <v>110</v>
      </c>
      <c r="D48" s="14" t="s">
        <v>136</v>
      </c>
      <c r="E48" s="14" t="s">
        <v>106</v>
      </c>
      <c r="F48" s="14" t="s">
        <v>132</v>
      </c>
      <c r="G48" s="14" t="s">
        <v>111</v>
      </c>
      <c r="H48" s="14" t="s">
        <v>135</v>
      </c>
      <c r="I48" s="14"/>
    </row>
    <row r="49" spans="1:25">
      <c r="A49" s="1" t="s">
        <v>170</v>
      </c>
      <c r="B49" s="5">
        <v>0.61350000000000005</v>
      </c>
      <c r="C49" s="5">
        <v>0.26769999999999999</v>
      </c>
      <c r="D49" s="5">
        <v>0.43440000000000001</v>
      </c>
      <c r="E49" s="5">
        <v>0.63439999999999996</v>
      </c>
      <c r="F49" s="5">
        <v>0.63790000000000002</v>
      </c>
      <c r="G49" s="5">
        <v>0.63970000000000005</v>
      </c>
      <c r="H49" s="5">
        <v>0.64839999999999998</v>
      </c>
      <c r="I49" s="5"/>
      <c r="J49" s="1" t="s">
        <v>167</v>
      </c>
    </row>
    <row r="50" spans="1:25">
      <c r="B50" s="14" t="s">
        <v>26</v>
      </c>
      <c r="C50" s="14" t="s">
        <v>138</v>
      </c>
      <c r="D50" s="14" t="s">
        <v>44</v>
      </c>
      <c r="E50" s="14" t="s">
        <v>65</v>
      </c>
      <c r="F50" s="14" t="s">
        <v>108</v>
      </c>
      <c r="G50" s="14" t="s">
        <v>110</v>
      </c>
      <c r="H50" s="14" t="s">
        <v>136</v>
      </c>
      <c r="I50" s="14"/>
      <c r="J50" s="23" t="s">
        <v>137</v>
      </c>
    </row>
    <row r="51" spans="1:25" s="3" customFormat="1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S51" s="1"/>
      <c r="T51" s="1"/>
      <c r="U51" s="1"/>
      <c r="V51" s="1"/>
      <c r="W51" s="1"/>
      <c r="X51" s="1"/>
      <c r="Y51" s="1"/>
    </row>
    <row r="52" spans="1:25" s="3" customFormat="1">
      <c r="A52" s="4"/>
      <c r="B52" s="4"/>
      <c r="C52" s="4"/>
      <c r="D52" s="4"/>
      <c r="E52" s="4"/>
      <c r="F52" s="4"/>
      <c r="G52" s="4"/>
      <c r="H52" s="4"/>
      <c r="I52" s="4"/>
      <c r="J52" s="1"/>
      <c r="K52" s="8"/>
      <c r="L52" s="7"/>
      <c r="M52" s="7"/>
      <c r="N52" s="8"/>
      <c r="O52" s="8"/>
      <c r="P52" s="8"/>
      <c r="Q52" s="8"/>
      <c r="S52" s="8"/>
      <c r="T52" s="7"/>
      <c r="U52" s="7"/>
      <c r="V52" s="8"/>
      <c r="W52" s="8"/>
      <c r="X52" s="8"/>
      <c r="Y52" s="8"/>
    </row>
    <row r="53" spans="1:25" s="3" customFormat="1">
      <c r="A53" s="9" t="s">
        <v>104</v>
      </c>
      <c r="B53" s="3" t="s">
        <v>183</v>
      </c>
      <c r="C53" s="11">
        <v>0.57450000000000001</v>
      </c>
      <c r="D53" s="11">
        <v>0.23530000000000001</v>
      </c>
      <c r="E53" s="11">
        <v>0.38529999999999998</v>
      </c>
      <c r="F53" s="11">
        <v>0.5706</v>
      </c>
      <c r="G53" s="4"/>
      <c r="H53" s="4"/>
      <c r="I53" s="4"/>
      <c r="J53" s="1"/>
      <c r="K53" s="1"/>
      <c r="L53" s="1"/>
      <c r="M53" s="1"/>
      <c r="N53" s="1"/>
      <c r="O53" s="1"/>
      <c r="P53" s="1"/>
      <c r="Q53" s="1"/>
      <c r="S53" s="1"/>
      <c r="T53" s="1"/>
      <c r="U53" s="1"/>
      <c r="V53" s="1"/>
      <c r="W53" s="1"/>
      <c r="X53" s="1"/>
      <c r="Y53" s="1"/>
    </row>
    <row r="54" spans="1:25" s="3" customFormat="1">
      <c r="A54" s="9" t="s">
        <v>12</v>
      </c>
      <c r="B54" s="3" t="s">
        <v>183</v>
      </c>
      <c r="C54" s="10">
        <v>0.59050000000000002</v>
      </c>
      <c r="D54" s="10">
        <v>0.24410000000000001</v>
      </c>
      <c r="E54" s="10">
        <v>0.4118</v>
      </c>
      <c r="F54" s="10">
        <v>0.60289999999999999</v>
      </c>
      <c r="G54" s="4"/>
      <c r="H54" s="4"/>
      <c r="I54" s="4"/>
      <c r="J54" s="1"/>
      <c r="K54" s="1"/>
      <c r="L54" s="1"/>
      <c r="M54" s="1"/>
      <c r="N54" s="1"/>
      <c r="O54" s="1"/>
      <c r="P54" s="1"/>
      <c r="Q54" s="1"/>
      <c r="S54" s="4"/>
      <c r="T54" s="4"/>
      <c r="U54" s="4"/>
      <c r="V54" s="4"/>
      <c r="W54" s="4"/>
      <c r="X54" s="4"/>
      <c r="Y54" s="4"/>
    </row>
    <row r="55" spans="1:25" s="3" customFormat="1">
      <c r="A55" s="1" t="s">
        <v>104</v>
      </c>
      <c r="B55" s="3" t="s">
        <v>184</v>
      </c>
      <c r="C55" s="5">
        <v>0.59040000000000004</v>
      </c>
      <c r="D55" s="5">
        <v>0.22189999999999999</v>
      </c>
      <c r="E55" s="5">
        <v>0.41880000000000001</v>
      </c>
      <c r="F55" s="5">
        <v>0.61560000000000004</v>
      </c>
      <c r="G55" s="4"/>
      <c r="H55" s="4"/>
      <c r="I55" s="4"/>
      <c r="J55" s="1"/>
      <c r="K55" s="1"/>
      <c r="L55" s="1"/>
      <c r="M55" s="1"/>
      <c r="N55" s="1"/>
      <c r="O55" s="1"/>
      <c r="P55" s="1"/>
      <c r="Q55" s="1"/>
      <c r="S55" s="4"/>
      <c r="T55" s="4"/>
      <c r="U55" s="4"/>
      <c r="V55" s="4"/>
      <c r="W55" s="4"/>
      <c r="X55" s="4"/>
      <c r="Y55" s="4"/>
    </row>
    <row r="56" spans="1:25" s="3" customFormat="1">
      <c r="A56" s="1" t="s">
        <v>12</v>
      </c>
      <c r="B56" s="3" t="s">
        <v>184</v>
      </c>
      <c r="C56" s="6">
        <v>0.60450000000000004</v>
      </c>
      <c r="D56" s="6">
        <v>0.24840000000000001</v>
      </c>
      <c r="E56" s="6">
        <v>0.43280000000000002</v>
      </c>
      <c r="F56" s="6">
        <v>0.63880000000000003</v>
      </c>
      <c r="G56" s="4"/>
      <c r="H56" s="4"/>
      <c r="I56" s="4"/>
      <c r="J56" s="1"/>
      <c r="K56" s="1"/>
      <c r="L56" s="1"/>
      <c r="M56" s="1"/>
      <c r="N56" s="1"/>
      <c r="O56" s="1"/>
      <c r="P56" s="1"/>
      <c r="Q56" s="1"/>
      <c r="S56" s="1"/>
      <c r="T56" s="1"/>
      <c r="U56" s="1"/>
      <c r="V56" s="1"/>
      <c r="W56" s="1"/>
      <c r="X56" s="1"/>
      <c r="Y56" s="1"/>
    </row>
    <row r="57" spans="1:25" s="3" customFormat="1">
      <c r="A57" s="17" t="s">
        <v>3</v>
      </c>
      <c r="B57" s="3" t="s">
        <v>185</v>
      </c>
      <c r="C57" s="18">
        <v>0.59840000000000004</v>
      </c>
      <c r="D57" s="18">
        <v>0.22869999999999999</v>
      </c>
      <c r="E57" s="18">
        <v>0.42230000000000001</v>
      </c>
      <c r="F57" s="18">
        <v>0.61580000000000001</v>
      </c>
      <c r="G57" s="4"/>
      <c r="H57" s="4"/>
      <c r="I57" s="4"/>
      <c r="J57" s="1"/>
      <c r="K57" s="1"/>
      <c r="L57" s="1"/>
      <c r="M57" s="1"/>
      <c r="N57" s="1"/>
      <c r="O57" s="1"/>
      <c r="P57" s="1"/>
      <c r="Q57" s="1"/>
      <c r="S57" s="1"/>
      <c r="T57" s="1"/>
      <c r="U57" s="1"/>
      <c r="V57" s="1"/>
      <c r="W57" s="1"/>
      <c r="X57" s="1"/>
      <c r="Y57" s="1"/>
    </row>
    <row r="58" spans="1:25">
      <c r="A58" s="17" t="s">
        <v>12</v>
      </c>
      <c r="B58" s="3" t="s">
        <v>185</v>
      </c>
      <c r="C58" s="20">
        <v>0.62370000000000003</v>
      </c>
      <c r="D58" s="20">
        <v>0.27960000000000002</v>
      </c>
      <c r="E58" s="20">
        <v>0.45050000000000001</v>
      </c>
      <c r="F58" s="20">
        <v>0.64729999999999999</v>
      </c>
      <c r="G58" s="4"/>
      <c r="H58" s="4"/>
      <c r="I58" s="4"/>
    </row>
    <row r="59" spans="1:25">
      <c r="A59" s="1" t="s">
        <v>3</v>
      </c>
      <c r="B59" s="3" t="s">
        <v>186</v>
      </c>
      <c r="C59" s="5">
        <v>0.59119999999999995</v>
      </c>
      <c r="D59" s="5">
        <v>0.2082</v>
      </c>
      <c r="E59" s="5">
        <v>0.40820000000000001</v>
      </c>
      <c r="F59" s="5">
        <v>0.60329999999999995</v>
      </c>
      <c r="G59" s="4"/>
      <c r="H59" s="4"/>
      <c r="I59" s="4"/>
    </row>
    <row r="60" spans="1:25">
      <c r="A60" s="1" t="s">
        <v>12</v>
      </c>
      <c r="B60" s="3" t="s">
        <v>186</v>
      </c>
      <c r="C60" s="6">
        <v>0.60209999999999997</v>
      </c>
      <c r="D60" s="6">
        <v>0.2283</v>
      </c>
      <c r="E60" s="6">
        <v>0.4209</v>
      </c>
      <c r="F60" s="6">
        <v>0.63100000000000001</v>
      </c>
      <c r="G60" s="4"/>
      <c r="H60" s="4"/>
      <c r="I60" s="4"/>
    </row>
    <row r="61" spans="1:25">
      <c r="A61" s="9" t="s">
        <v>3</v>
      </c>
      <c r="B61" s="3" t="s">
        <v>187</v>
      </c>
      <c r="C61" s="11">
        <v>0.58909999999999996</v>
      </c>
      <c r="D61" s="10">
        <v>0.21490000000000001</v>
      </c>
      <c r="E61" s="11">
        <v>0.4032</v>
      </c>
      <c r="F61" s="11">
        <v>0.60719999999999996</v>
      </c>
      <c r="G61" s="4"/>
      <c r="H61" s="4"/>
      <c r="I61" s="4"/>
    </row>
    <row r="62" spans="1:25">
      <c r="A62" s="9" t="s">
        <v>12</v>
      </c>
      <c r="B62" s="3" t="s">
        <v>187</v>
      </c>
      <c r="C62" s="10">
        <v>0.59489999999999998</v>
      </c>
      <c r="D62" s="11">
        <v>0.21160000000000001</v>
      </c>
      <c r="E62" s="10">
        <v>0.41039999999999999</v>
      </c>
      <c r="F62" s="10">
        <v>0.63370000000000004</v>
      </c>
      <c r="G62" s="4"/>
      <c r="H62" s="4"/>
      <c r="I62" s="4"/>
    </row>
    <row r="63" spans="1:25">
      <c r="A63" s="1" t="s">
        <v>3</v>
      </c>
      <c r="B63" s="3" t="s">
        <v>188</v>
      </c>
      <c r="C63" s="5">
        <v>0.59130000000000005</v>
      </c>
      <c r="D63" s="6">
        <v>0.2122</v>
      </c>
      <c r="E63" s="5">
        <v>0.40150000000000002</v>
      </c>
      <c r="F63" s="5">
        <v>0.6179</v>
      </c>
      <c r="G63" s="4"/>
      <c r="H63" s="4"/>
      <c r="I63" s="4"/>
    </row>
    <row r="64" spans="1:25">
      <c r="A64" s="1" t="s">
        <v>12</v>
      </c>
      <c r="B64" s="3" t="s">
        <v>188</v>
      </c>
      <c r="C64" s="6">
        <v>0.59499999999999997</v>
      </c>
      <c r="D64" s="5">
        <v>0.2094</v>
      </c>
      <c r="E64" s="6">
        <v>0.41089999999999999</v>
      </c>
      <c r="F64" s="6">
        <v>0.63580000000000003</v>
      </c>
      <c r="G64" s="4"/>
      <c r="H64" s="4"/>
      <c r="I64" s="4"/>
    </row>
    <row r="65" spans="1:10">
      <c r="A65" s="9" t="s">
        <v>3</v>
      </c>
      <c r="B65" s="3" t="s">
        <v>189</v>
      </c>
      <c r="C65" s="11">
        <v>0.59140000000000004</v>
      </c>
      <c r="D65" s="10">
        <v>0.21759999999999999</v>
      </c>
      <c r="E65" s="10">
        <v>0.39610000000000001</v>
      </c>
      <c r="F65" s="11">
        <v>0.61599999999999999</v>
      </c>
      <c r="G65" s="4" t="s">
        <v>112</v>
      </c>
      <c r="H65" s="4"/>
      <c r="I65" s="4"/>
    </row>
    <row r="66" spans="1:10">
      <c r="A66" s="9" t="s">
        <v>12</v>
      </c>
      <c r="B66" s="3" t="s">
        <v>189</v>
      </c>
      <c r="C66" s="10">
        <v>0.58919999999999995</v>
      </c>
      <c r="D66" s="11">
        <v>0.2041</v>
      </c>
      <c r="E66" s="11">
        <v>0.39169999999999999</v>
      </c>
      <c r="F66" s="10">
        <v>0.62880000000000003</v>
      </c>
      <c r="G66" s="4"/>
      <c r="H66" s="4"/>
      <c r="I66" s="4"/>
    </row>
    <row r="67" spans="1:10">
      <c r="F67" s="4"/>
      <c r="G67" s="4"/>
      <c r="H67" s="4"/>
      <c r="I67" s="4"/>
    </row>
    <row r="68" spans="1:10">
      <c r="F68" s="4"/>
      <c r="G68" s="4"/>
      <c r="H68" s="4"/>
      <c r="I68" s="4"/>
    </row>
    <row r="69" spans="1:10">
      <c r="A69" s="1" t="s">
        <v>119</v>
      </c>
      <c r="B69" s="5">
        <v>0.61270000000000002</v>
      </c>
      <c r="C69" s="5">
        <v>0.26479999999999998</v>
      </c>
      <c r="D69" s="5">
        <v>0.45619999999999999</v>
      </c>
      <c r="E69" s="5">
        <v>0.64649999999999996</v>
      </c>
      <c r="F69" s="5">
        <v>0.63890000000000002</v>
      </c>
      <c r="G69" s="5">
        <v>0.64070000000000005</v>
      </c>
      <c r="H69" s="5">
        <v>0.64470000000000005</v>
      </c>
      <c r="I69" s="5"/>
      <c r="J69" s="1" t="s">
        <v>122</v>
      </c>
    </row>
    <row r="70" spans="1:10">
      <c r="A70" s="17" t="s">
        <v>118</v>
      </c>
      <c r="B70" s="18">
        <v>0.62370000000000003</v>
      </c>
      <c r="C70" s="18">
        <v>0.27960000000000002</v>
      </c>
      <c r="D70" s="18">
        <v>0.45050000000000001</v>
      </c>
      <c r="E70" s="18">
        <v>0.64729999999999999</v>
      </c>
      <c r="F70" s="18">
        <v>0.64880000000000004</v>
      </c>
      <c r="G70" s="18">
        <v>0.6492</v>
      </c>
      <c r="H70" s="18">
        <v>0.65200000000000002</v>
      </c>
      <c r="I70" s="18"/>
    </row>
    <row r="71" spans="1:10">
      <c r="A71" s="1" t="s">
        <v>120</v>
      </c>
      <c r="B71" s="5">
        <v>0.6099</v>
      </c>
      <c r="C71" s="5">
        <v>0.2495</v>
      </c>
      <c r="D71" s="5">
        <v>0.44090000000000001</v>
      </c>
      <c r="E71" s="5">
        <v>0.63439999999999996</v>
      </c>
      <c r="F71" s="5">
        <v>0.64070000000000005</v>
      </c>
      <c r="G71" s="5">
        <v>0.64610000000000001</v>
      </c>
      <c r="H71" s="5">
        <v>0.64839999999999998</v>
      </c>
      <c r="I71" s="5"/>
      <c r="J71" s="1" t="s">
        <v>98</v>
      </c>
    </row>
    <row r="72" spans="1:10">
      <c r="A72" s="1" t="s">
        <v>121</v>
      </c>
      <c r="B72" s="5">
        <v>0.61339999999999995</v>
      </c>
      <c r="C72" s="5">
        <v>0.2581</v>
      </c>
      <c r="D72" s="5">
        <v>0.43959999999999999</v>
      </c>
      <c r="E72" s="5">
        <v>0.65810000000000002</v>
      </c>
      <c r="F72" s="5">
        <v>0.63619999999999999</v>
      </c>
      <c r="G72" s="5">
        <v>0.63880000000000003</v>
      </c>
      <c r="H72" s="5">
        <v>0.64500000000000002</v>
      </c>
      <c r="I72" s="5"/>
      <c r="J72" s="1" t="s">
        <v>98</v>
      </c>
    </row>
    <row r="74" spans="1:10">
      <c r="A74" s="1" t="s">
        <v>113</v>
      </c>
      <c r="B74" s="5">
        <v>0.6119</v>
      </c>
      <c r="C74" s="5">
        <v>0.2409</v>
      </c>
      <c r="D74" s="5">
        <v>0.44190000000000002</v>
      </c>
      <c r="E74" s="5">
        <v>0.63980000000000004</v>
      </c>
      <c r="F74" s="5">
        <v>0.64159999999999995</v>
      </c>
      <c r="G74" s="5">
        <v>0.64590000000000003</v>
      </c>
      <c r="H74" s="5">
        <v>0.64239999999999997</v>
      </c>
      <c r="I74" s="5"/>
    </row>
    <row r="75" spans="1:10">
      <c r="A75" s="17" t="s">
        <v>114</v>
      </c>
      <c r="B75" s="18">
        <v>0.62370000000000003</v>
      </c>
      <c r="C75" s="18">
        <v>0.27960000000000002</v>
      </c>
      <c r="D75" s="18">
        <v>0.45050000000000001</v>
      </c>
      <c r="E75" s="18">
        <v>0.64729999999999999</v>
      </c>
      <c r="F75" s="18">
        <v>0.64880000000000004</v>
      </c>
      <c r="G75" s="18">
        <v>0.6492</v>
      </c>
      <c r="H75" s="18">
        <v>0.65200000000000002</v>
      </c>
      <c r="I75" s="18"/>
    </row>
    <row r="76" spans="1:10">
      <c r="A76" s="1" t="s">
        <v>115</v>
      </c>
      <c r="B76" s="5">
        <v>0.61829999999999996</v>
      </c>
      <c r="C76" s="5">
        <v>0.27100000000000002</v>
      </c>
      <c r="D76" s="5">
        <v>0.45269999999999999</v>
      </c>
      <c r="E76" s="5">
        <v>0.65700000000000003</v>
      </c>
      <c r="F76" s="5">
        <v>0.64159999999999995</v>
      </c>
      <c r="G76" s="5">
        <v>0.66190000000000004</v>
      </c>
      <c r="H76" s="5">
        <v>0.65010000000000001</v>
      </c>
      <c r="I76" s="5"/>
    </row>
    <row r="77" spans="1:10">
      <c r="A77" s="1" t="s">
        <v>116</v>
      </c>
      <c r="B77" s="5">
        <v>0.60140000000000005</v>
      </c>
      <c r="C77" s="5">
        <v>0.26229999999999998</v>
      </c>
      <c r="D77" s="5">
        <v>0.45229999999999998</v>
      </c>
      <c r="E77" s="5">
        <v>0.63980000000000004</v>
      </c>
      <c r="F77" s="5">
        <v>0.63949999999999996</v>
      </c>
      <c r="G77" s="5">
        <v>0.66300000000000003</v>
      </c>
      <c r="H77" s="5">
        <v>0.65329999999999999</v>
      </c>
      <c r="I77" s="5"/>
    </row>
    <row r="78" spans="1:10">
      <c r="A78" s="1" t="s">
        <v>117</v>
      </c>
      <c r="B78" s="5">
        <v>0.60060000000000002</v>
      </c>
      <c r="C78" s="5">
        <v>0.25159999999999999</v>
      </c>
      <c r="D78" s="5">
        <v>0.44519999999999998</v>
      </c>
      <c r="E78" s="5">
        <v>0.63580000000000003</v>
      </c>
      <c r="F78" s="5">
        <v>0.63770000000000004</v>
      </c>
      <c r="G78" s="5">
        <v>0.63790000000000002</v>
      </c>
      <c r="H78" s="5">
        <v>0.64980000000000004</v>
      </c>
      <c r="I78" s="5"/>
    </row>
    <row r="80" spans="1:10">
      <c r="A80" s="1" t="s">
        <v>127</v>
      </c>
      <c r="B80" s="5">
        <v>0.5877</v>
      </c>
      <c r="C80" s="5">
        <v>0.24299999999999999</v>
      </c>
      <c r="D80" s="5">
        <v>0.41399999999999998</v>
      </c>
      <c r="E80" s="5">
        <v>0.60540000000000005</v>
      </c>
      <c r="F80" s="5">
        <v>0.57179999999999997</v>
      </c>
      <c r="G80" s="5">
        <v>0.59030000000000005</v>
      </c>
      <c r="H80" s="5">
        <v>0.60409999999999997</v>
      </c>
      <c r="I80" s="5"/>
    </row>
    <row r="81" spans="1:10">
      <c r="A81" s="1" t="s">
        <v>126</v>
      </c>
      <c r="B81" s="5">
        <v>0.61519999999999997</v>
      </c>
      <c r="C81" s="5">
        <v>0.27529999999999999</v>
      </c>
      <c r="D81" s="5">
        <v>0.46239999999999998</v>
      </c>
      <c r="E81" s="5">
        <v>0.63439999999999996</v>
      </c>
      <c r="F81" s="5">
        <v>0.63790000000000002</v>
      </c>
      <c r="G81" s="5">
        <v>0.64339999999999997</v>
      </c>
      <c r="H81" s="5">
        <v>0.64639999999999997</v>
      </c>
      <c r="I81" s="5"/>
    </row>
    <row r="82" spans="1:10">
      <c r="A82" s="17" t="s">
        <v>123</v>
      </c>
      <c r="B82" s="18">
        <v>0.62370000000000003</v>
      </c>
      <c r="C82" s="18">
        <v>0.27960000000000002</v>
      </c>
      <c r="D82" s="18">
        <v>0.45050000000000001</v>
      </c>
      <c r="E82" s="18">
        <v>0.64729999999999999</v>
      </c>
      <c r="F82" s="18">
        <v>0.64880000000000004</v>
      </c>
      <c r="G82" s="18">
        <v>0.6492</v>
      </c>
      <c r="H82" s="18">
        <v>0.65200000000000002</v>
      </c>
      <c r="I82" s="18"/>
    </row>
    <row r="83" spans="1:10">
      <c r="A83" s="1" t="s">
        <v>129</v>
      </c>
      <c r="B83" s="5">
        <v>0.61799999999999999</v>
      </c>
      <c r="C83" s="5">
        <v>0.27850000000000003</v>
      </c>
      <c r="D83" s="5">
        <v>0.45379999999999998</v>
      </c>
      <c r="E83" s="5">
        <v>0.64270000000000005</v>
      </c>
      <c r="F83" s="5">
        <v>0.64659999999999995</v>
      </c>
      <c r="G83" s="5">
        <v>0.64410000000000001</v>
      </c>
      <c r="H83" s="5">
        <v>0.64910000000000001</v>
      </c>
      <c r="I83" s="5"/>
    </row>
    <row r="84" spans="1:10">
      <c r="A84" s="1" t="s">
        <v>128</v>
      </c>
      <c r="B84" s="5">
        <v>0.62519999999999998</v>
      </c>
      <c r="C84" s="5">
        <v>0.27110000000000001</v>
      </c>
      <c r="D84" s="5">
        <v>0.45119999999999999</v>
      </c>
      <c r="E84" s="5">
        <v>0.64659999999999995</v>
      </c>
      <c r="F84" s="5">
        <v>0.64290000000000003</v>
      </c>
      <c r="G84" s="5">
        <v>0.64449999999999996</v>
      </c>
      <c r="H84" s="5">
        <v>0.6502</v>
      </c>
      <c r="I84" s="5"/>
    </row>
    <row r="85" spans="1:10">
      <c r="A85" s="1" t="s">
        <v>124</v>
      </c>
      <c r="B85" s="5">
        <v>0.60870000000000002</v>
      </c>
      <c r="C85" s="5">
        <v>0.24729999999999999</v>
      </c>
      <c r="D85" s="5">
        <v>0.44729999999999998</v>
      </c>
      <c r="E85" s="5">
        <v>0.64410000000000001</v>
      </c>
      <c r="F85" s="5">
        <v>0.59709999999999996</v>
      </c>
      <c r="G85" s="5">
        <v>0.61409999999999998</v>
      </c>
      <c r="H85" s="5">
        <v>0.62350000000000005</v>
      </c>
      <c r="I85" s="5"/>
      <c r="J85" s="23" t="s">
        <v>125</v>
      </c>
    </row>
    <row r="87" spans="1:10">
      <c r="A87" s="1" t="s">
        <v>190</v>
      </c>
      <c r="B87" s="5">
        <v>0.61519999999999997</v>
      </c>
      <c r="C87" s="5">
        <v>0.25380000000000003</v>
      </c>
      <c r="D87" s="5">
        <v>0.4516</v>
      </c>
      <c r="E87" s="5">
        <v>0.64549999999999996</v>
      </c>
      <c r="F87" s="5">
        <v>0.64600000000000002</v>
      </c>
      <c r="G87" s="5">
        <v>0.64539999999999997</v>
      </c>
      <c r="H87" s="5">
        <v>0.65049999999999997</v>
      </c>
      <c r="I87" s="5"/>
    </row>
    <row r="88" spans="1:10">
      <c r="A88" s="17" t="s">
        <v>130</v>
      </c>
      <c r="B88" s="18">
        <v>0.62370000000000003</v>
      </c>
      <c r="C88" s="18">
        <v>0.27960000000000002</v>
      </c>
      <c r="D88" s="18">
        <v>0.45050000000000001</v>
      </c>
      <c r="E88" s="18">
        <v>0.64729999999999999</v>
      </c>
      <c r="F88" s="18">
        <v>0.64880000000000004</v>
      </c>
      <c r="G88" s="18">
        <v>0.6492</v>
      </c>
      <c r="H88" s="18">
        <v>0.65200000000000002</v>
      </c>
      <c r="I88" s="18"/>
    </row>
    <row r="89" spans="1:10">
      <c r="A89" s="1" t="s">
        <v>191</v>
      </c>
      <c r="B89" s="5">
        <v>0.61080000000000001</v>
      </c>
      <c r="C89" s="5">
        <v>0.2676</v>
      </c>
      <c r="D89" s="5">
        <v>0.4466</v>
      </c>
      <c r="E89" s="5">
        <v>0.64549999999999996</v>
      </c>
      <c r="F89" s="5">
        <v>0.64680000000000004</v>
      </c>
      <c r="G89" s="5">
        <v>0.64810000000000001</v>
      </c>
      <c r="H89" s="5">
        <v>0.65069999999999995</v>
      </c>
      <c r="I89" s="5"/>
    </row>
    <row r="90" spans="1:10">
      <c r="A90" s="1" t="s">
        <v>192</v>
      </c>
      <c r="B90" s="5">
        <v>0.61029999999999995</v>
      </c>
      <c r="C90" s="5">
        <v>0.25590000000000002</v>
      </c>
      <c r="D90" s="5">
        <v>0.43759999999999999</v>
      </c>
      <c r="E90" s="5">
        <v>0.64410000000000001</v>
      </c>
      <c r="F90" s="5">
        <v>0.64090000000000003</v>
      </c>
      <c r="G90" s="5">
        <v>0.64370000000000005</v>
      </c>
      <c r="H90" s="5">
        <v>0.64970000000000006</v>
      </c>
      <c r="I90" s="5"/>
    </row>
    <row r="91" spans="1:10">
      <c r="A91" s="1" t="s">
        <v>193</v>
      </c>
      <c r="B91" s="5">
        <v>0.61360000000000003</v>
      </c>
      <c r="C91" s="5">
        <v>0.2591</v>
      </c>
      <c r="D91" s="5">
        <v>0.42370000000000002</v>
      </c>
      <c r="E91" s="5">
        <v>0.65590000000000004</v>
      </c>
      <c r="F91" s="5">
        <v>0.64090000000000003</v>
      </c>
      <c r="G91" s="5">
        <v>0.64149999999999996</v>
      </c>
      <c r="H91" s="5">
        <v>0.64249999999999996</v>
      </c>
      <c r="I91" s="5"/>
    </row>
    <row r="93" spans="1:10">
      <c r="B93" s="1" t="s">
        <v>194</v>
      </c>
      <c r="C93" s="1" t="s">
        <v>34</v>
      </c>
      <c r="D93" s="1" t="s">
        <v>35</v>
      </c>
      <c r="E93" s="1" t="s">
        <v>36</v>
      </c>
      <c r="F93" s="1" t="s">
        <v>37</v>
      </c>
      <c r="G93" s="1" t="s">
        <v>38</v>
      </c>
      <c r="H93" s="1" t="s">
        <v>39</v>
      </c>
    </row>
    <row r="94" spans="1:10">
      <c r="B94" s="38" t="s">
        <v>3</v>
      </c>
      <c r="C94" s="39">
        <v>0.22159999999999999</v>
      </c>
      <c r="D94" s="39">
        <v>0.42049999999999998</v>
      </c>
      <c r="E94" s="39">
        <v>0.61409999999999998</v>
      </c>
      <c r="F94" s="39">
        <v>0.62319999999999998</v>
      </c>
      <c r="G94" s="39">
        <v>0.62439999999999996</v>
      </c>
      <c r="H94" s="39">
        <v>0.627</v>
      </c>
    </row>
    <row r="95" spans="1:10">
      <c r="B95" s="38" t="s">
        <v>158</v>
      </c>
      <c r="C95" s="39">
        <v>0.23219999999999999</v>
      </c>
      <c r="D95" s="39">
        <v>0.41930000000000001</v>
      </c>
      <c r="E95" s="39">
        <v>0.61980000000000002</v>
      </c>
      <c r="F95" s="39">
        <v>0.61890000000000001</v>
      </c>
      <c r="G95" s="39">
        <v>0.62019999999999997</v>
      </c>
      <c r="H95" s="39">
        <v>0.62670000000000003</v>
      </c>
    </row>
    <row r="96" spans="1:10">
      <c r="B96" s="38" t="s">
        <v>162</v>
      </c>
      <c r="C96" s="39">
        <v>0.2432</v>
      </c>
      <c r="D96" s="39">
        <v>0.41320000000000001</v>
      </c>
      <c r="E96" s="39">
        <v>0.59550000000000003</v>
      </c>
      <c r="F96" s="39">
        <v>0.62470000000000003</v>
      </c>
      <c r="G96" s="39">
        <v>0.63060000000000005</v>
      </c>
      <c r="H96" s="39">
        <v>0.63339999999999996</v>
      </c>
    </row>
    <row r="97" spans="2:8">
      <c r="B97" s="38" t="s">
        <v>148</v>
      </c>
      <c r="C97" s="39">
        <v>0.2218</v>
      </c>
      <c r="D97" s="39">
        <v>0.40479999999999999</v>
      </c>
      <c r="E97" s="39">
        <v>0.61899999999999999</v>
      </c>
      <c r="F97" s="39">
        <v>0.59419999999999995</v>
      </c>
      <c r="G97" s="39">
        <v>0.59850000000000003</v>
      </c>
      <c r="H97" s="39">
        <v>0.60119999999999996</v>
      </c>
    </row>
    <row r="98" spans="2:8">
      <c r="B98" s="38" t="s">
        <v>149</v>
      </c>
      <c r="C98" s="40" t="s">
        <v>195</v>
      </c>
      <c r="D98" s="40" t="s">
        <v>196</v>
      </c>
      <c r="E98" s="40" t="s">
        <v>200</v>
      </c>
      <c r="F98" s="40" t="s">
        <v>197</v>
      </c>
      <c r="G98" s="40" t="s">
        <v>198</v>
      </c>
      <c r="H98" s="40" t="s">
        <v>199</v>
      </c>
    </row>
    <row r="99" spans="2:8">
      <c r="B99" s="38" t="s">
        <v>165</v>
      </c>
      <c r="C99" s="41">
        <v>0.27739999999999998</v>
      </c>
      <c r="D99" s="41">
        <v>0.4496</v>
      </c>
      <c r="E99" s="41">
        <v>0.64549999999999996</v>
      </c>
      <c r="F99" s="41">
        <v>0.6421</v>
      </c>
      <c r="G99" s="41">
        <v>0.64549999999999996</v>
      </c>
      <c r="H99" s="41">
        <v>0.64980000000000004</v>
      </c>
    </row>
  </sheetData>
  <mergeCells count="3">
    <mergeCell ref="B1:H1"/>
    <mergeCell ref="K1:Q1"/>
    <mergeCell ref="S1:Y1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Tinky2013</dc:creator>
  <cp:lastModifiedBy>Ziyue WU</cp:lastModifiedBy>
  <dcterms:created xsi:type="dcterms:W3CDTF">2015-06-05T18:19:34Z</dcterms:created>
  <dcterms:modified xsi:type="dcterms:W3CDTF">2026-10-21T14:49:03Z</dcterms:modified>
</cp:coreProperties>
</file>